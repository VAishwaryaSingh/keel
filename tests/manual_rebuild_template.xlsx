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ompare" sheetId="2" state="visible" r:id="rId2"/>
    <sheet name="Your_ARR" sheetId="3" state="visible" r:id="rId3"/>
    <sheet name="Your_DeferredRevenue" sheetId="4" state="visible" r:id="rId4"/>
    <sheet name="Your_Goodw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000;(#,##0.0000)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4" fillId="0" borderId="0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22" customWidth="1" min="3" max="3"/>
  </cols>
  <sheetData>
    <row r="1">
      <c r="A1" s="1" t="inlineStr">
        <is>
          <t>Base-scenario inputs (typed values, copied from the model on the day this kit was made)</t>
        </is>
      </c>
    </row>
    <row r="2">
      <c r="A2" s="2" t="inlineStr">
        <is>
          <t>Build your calculations on new sheets that point at these cells. Do not look at the model's formulas first.</t>
        </is>
      </c>
    </row>
    <row r="4">
      <c r="A4" s="3" t="inlineStr">
        <is>
          <t>Name in the model</t>
        </is>
      </c>
      <c r="B4" s="3" t="inlineStr">
        <is>
          <t>Label</t>
        </is>
      </c>
      <c r="C4" s="3" t="inlineStr">
        <is>
          <t>Unit</t>
        </is>
      </c>
      <c r="D4" s="3" t="inlineStr">
        <is>
          <t>Value</t>
        </is>
      </c>
    </row>
    <row r="5">
      <c r="A5" s="4" t="inlineStr">
        <is>
          <t>inp_arr_open_ent</t>
        </is>
      </c>
      <c r="B5" s="4" t="inlineStr">
        <is>
          <t>Opening ARR - Enterprise</t>
        </is>
      </c>
      <c r="C5" s="4" t="inlineStr">
        <is>
          <t>GBP k</t>
        </is>
      </c>
      <c r="D5" s="5" t="n">
        <v>26000</v>
      </c>
    </row>
    <row r="6">
      <c r="A6" s="4" t="inlineStr">
        <is>
          <t>inp_arr_open_mid</t>
        </is>
      </c>
      <c r="B6" s="4" t="inlineStr">
        <is>
          <t>Opening ARR - Mid-market</t>
        </is>
      </c>
      <c r="C6" s="4" t="inlineStr">
        <is>
          <t>GBP k</t>
        </is>
      </c>
      <c r="D6" s="5" t="n">
        <v>14000</v>
      </c>
    </row>
    <row r="7">
      <c r="A7" s="4" t="inlineStr">
        <is>
          <t>inp_logos_ent</t>
        </is>
      </c>
      <c r="B7" s="4" t="inlineStr">
        <is>
          <t>New Enterprise logos per month</t>
        </is>
      </c>
      <c r="C7" s="4" t="inlineStr">
        <is>
          <t>#/mo</t>
        </is>
      </c>
      <c r="D7" s="5" t="n">
        <v>3</v>
      </c>
    </row>
    <row r="8">
      <c r="A8" s="4" t="inlineStr">
        <is>
          <t>inp_logos_mid</t>
        </is>
      </c>
      <c r="B8" s="4" t="inlineStr">
        <is>
          <t>New Mid-market logos per month</t>
        </is>
      </c>
      <c r="C8" s="4" t="inlineStr">
        <is>
          <t>#/mo</t>
        </is>
      </c>
      <c r="D8" s="5" t="n">
        <v>14</v>
      </c>
    </row>
    <row r="9">
      <c r="A9" s="4" t="inlineStr">
        <is>
          <t>inp_logo_growth</t>
        </is>
      </c>
      <c r="B9" s="4" t="inlineStr">
        <is>
          <t>Annual growth in new-logo volume</t>
        </is>
      </c>
      <c r="C9" s="4" t="inlineStr">
        <is>
          <t>% p.a.</t>
        </is>
      </c>
      <c r="D9" s="5" t="n">
        <v>0.05</v>
      </c>
    </row>
    <row r="10">
      <c r="A10" s="4" t="inlineStr">
        <is>
          <t>inp_acv_ent</t>
        </is>
      </c>
      <c r="B10" s="4" t="inlineStr">
        <is>
          <t>Enterprise ACV (new logos)</t>
        </is>
      </c>
      <c r="C10" s="4" t="inlineStr">
        <is>
          <t>GBP k</t>
        </is>
      </c>
      <c r="D10" s="5" t="n">
        <v>210</v>
      </c>
    </row>
    <row r="11">
      <c r="A11" s="4" t="inlineStr">
        <is>
          <t>inp_acv_mid</t>
        </is>
      </c>
      <c r="B11" s="4" t="inlineStr">
        <is>
          <t>Mid-market ACV (new logos)</t>
        </is>
      </c>
      <c r="C11" s="4" t="inlineStr">
        <is>
          <t>GBP k</t>
        </is>
      </c>
      <c r="D11" s="5" t="n">
        <v>26</v>
      </c>
    </row>
    <row r="12">
      <c r="A12" s="4" t="inlineStr">
        <is>
          <t>inp_price_uplift</t>
        </is>
      </c>
      <c r="B12" s="4" t="inlineStr">
        <is>
          <t>Annual price uplift on new-logo ACV</t>
        </is>
      </c>
      <c r="C12" s="4" t="inlineStr">
        <is>
          <t>% p.a.</t>
        </is>
      </c>
      <c r="D12" s="5" t="n">
        <v>0.03</v>
      </c>
    </row>
    <row r="13">
      <c r="A13" s="4" t="inlineStr">
        <is>
          <t>inp_exp_ent</t>
        </is>
      </c>
      <c r="B13" s="4" t="inlineStr">
        <is>
          <t>Enterprise annual expansion</t>
        </is>
      </c>
      <c r="C13" s="4" t="inlineStr">
        <is>
          <t>% of ARR</t>
        </is>
      </c>
      <c r="D13" s="5" t="n">
        <v>0.14</v>
      </c>
    </row>
    <row r="14">
      <c r="A14" s="4" t="inlineStr">
        <is>
          <t>inp_exp_mid</t>
        </is>
      </c>
      <c r="B14" s="4" t="inlineStr">
        <is>
          <t>Mid-market annual expansion</t>
        </is>
      </c>
      <c r="C14" s="4" t="inlineStr">
        <is>
          <t>% of ARR</t>
        </is>
      </c>
      <c r="D14" s="5" t="n">
        <v>0.07000000000000001</v>
      </c>
    </row>
    <row r="15">
      <c r="A15" s="4" t="inlineStr">
        <is>
          <t>inp_churn_ent</t>
        </is>
      </c>
      <c r="B15" s="4" t="inlineStr">
        <is>
          <t>Enterprise annual gross churn</t>
        </is>
      </c>
      <c r="C15" s="4" t="inlineStr">
        <is>
          <t>% of ARR</t>
        </is>
      </c>
      <c r="D15" s="5" t="n">
        <v>0.06</v>
      </c>
    </row>
    <row r="16">
      <c r="A16" s="4" t="inlineStr">
        <is>
          <t>inp_churn_mid</t>
        </is>
      </c>
      <c r="B16" s="4" t="inlineStr">
        <is>
          <t>Mid-market annual gross churn</t>
        </is>
      </c>
      <c r="C16" s="4" t="inlineStr">
        <is>
          <t>% of ARR</t>
        </is>
      </c>
      <c r="D16" s="5" t="n">
        <v>0.12</v>
      </c>
    </row>
    <row r="17">
      <c r="A17" s="4" t="inlineStr">
        <is>
          <t>inp_v_arr_open</t>
        </is>
      </c>
      <c r="B17" s="4" t="inlineStr">
        <is>
          <t>Vaultline opening ARR</t>
        </is>
      </c>
      <c r="C17" s="4" t="inlineStr">
        <is>
          <t>GBP k</t>
        </is>
      </c>
      <c r="D17" s="5" t="n">
        <v>6000</v>
      </c>
    </row>
    <row r="18">
      <c r="A18" s="4" t="inlineStr">
        <is>
          <t>inp_v_cogs_pct</t>
        </is>
      </c>
      <c r="B18" s="4" t="inlineStr">
        <is>
          <t>Vaultline cost of revenue</t>
        </is>
      </c>
      <c r="C18" s="4" t="inlineStr">
        <is>
          <t>% of revenue</t>
        </is>
      </c>
      <c r="D18" s="5" t="n">
        <v>0.2</v>
      </c>
    </row>
    <row r="19">
      <c r="A19" s="4" t="inlineStr">
        <is>
          <t>inp_v_rd_pct</t>
        </is>
      </c>
      <c r="B19" s="4" t="inlineStr">
        <is>
          <t>Vaultline R&amp;D</t>
        </is>
      </c>
      <c r="C19" s="4" t="inlineStr">
        <is>
          <t>% of revenue</t>
        </is>
      </c>
      <c r="D19" s="5" t="n">
        <v>0.17</v>
      </c>
    </row>
    <row r="20">
      <c r="A20" s="4" t="inlineStr">
        <is>
          <t>inp_v_sm_pct</t>
        </is>
      </c>
      <c r="B20" s="4" t="inlineStr">
        <is>
          <t>Vaultline sales &amp; marketing</t>
        </is>
      </c>
      <c r="C20" s="4" t="inlineStr">
        <is>
          <t>% of revenue</t>
        </is>
      </c>
      <c r="D20" s="5" t="n">
        <v>0.26</v>
      </c>
    </row>
    <row r="21">
      <c r="A21" s="4" t="inlineStr">
        <is>
          <t>inp_v_ga_pct</t>
        </is>
      </c>
      <c r="B21" s="4" t="inlineStr">
        <is>
          <t>Vaultline G&amp;A</t>
        </is>
      </c>
      <c r="C21" s="4" t="inlineStr">
        <is>
          <t>% of revenue</t>
        </is>
      </c>
      <c r="D21" s="5" t="n">
        <v>0.12</v>
      </c>
    </row>
    <row r="22">
      <c r="A22" s="4" t="inlineStr">
        <is>
          <t>inp_v_ap_months</t>
        </is>
      </c>
      <c r="B22" s="4" t="inlineStr">
        <is>
          <t>Vaultline payables</t>
        </is>
      </c>
      <c r="C22" s="4" t="inlineStr">
        <is>
          <t>months of costs</t>
        </is>
      </c>
      <c r="D22" s="5" t="n">
        <v>0.4</v>
      </c>
    </row>
    <row r="23">
      <c r="A23" s="4" t="inlineStr">
        <is>
          <t>inp_v_open_cash</t>
        </is>
      </c>
      <c r="B23" s="4" t="inlineStr">
        <is>
          <t>Vaultline opening cash</t>
        </is>
      </c>
      <c r="C23" s="4" t="inlineStr">
        <is>
          <t>GBP k</t>
        </is>
      </c>
      <c r="D23" s="5" t="n">
        <v>3500</v>
      </c>
    </row>
    <row r="24">
      <c r="A24" s="4" t="inlineStr">
        <is>
          <t>inp_v_open_ar</t>
        </is>
      </c>
      <c r="B24" s="4" t="inlineStr">
        <is>
          <t>Vaultline opening receivables</t>
        </is>
      </c>
      <c r="C24" s="4" t="inlineStr">
        <is>
          <t>GBP k</t>
        </is>
      </c>
      <c r="D24" s="5" t="n">
        <v>1000</v>
      </c>
    </row>
    <row r="25">
      <c r="A25" s="4" t="inlineStr">
        <is>
          <t>inp_v_open_ppe</t>
        </is>
      </c>
      <c r="B25" s="4" t="inlineStr">
        <is>
          <t>Vaultline opening PP&amp;E</t>
        </is>
      </c>
      <c r="C25" s="4" t="inlineStr">
        <is>
          <t>GBP k</t>
        </is>
      </c>
      <c r="D25" s="5" t="n">
        <v>400</v>
      </c>
    </row>
    <row r="26">
      <c r="A26" s="4" t="inlineStr">
        <is>
          <t>inp_ma_offer_mult</t>
        </is>
      </c>
      <c r="B26" s="4" t="inlineStr">
        <is>
          <t>Offer: enterprise value / Vaultline opening ARR</t>
        </is>
      </c>
      <c r="C26" s="4" t="inlineStr">
        <is>
          <t>x ARR</t>
        </is>
      </c>
      <c r="D26" s="5" t="n">
        <v>4.5</v>
      </c>
    </row>
    <row r="27">
      <c r="A27" s="4" t="inlineStr">
        <is>
          <t>inp_ma_cr_pct</t>
        </is>
      </c>
      <c r="B27" s="4" t="inlineStr">
        <is>
          <t>Customer relationships</t>
        </is>
      </c>
      <c r="C27" s="4" t="inlineStr">
        <is>
          <t>% of EV</t>
        </is>
      </c>
      <c r="D27" s="5" t="n">
        <v>0.3</v>
      </c>
    </row>
    <row r="28">
      <c r="A28" s="4" t="inlineStr">
        <is>
          <t>inp_ma_tech_pct</t>
        </is>
      </c>
      <c r="B28" s="4" t="inlineStr">
        <is>
          <t>Acquired technology</t>
        </is>
      </c>
      <c r="C28" s="4" t="inlineStr">
        <is>
          <t>% of EV</t>
        </is>
      </c>
      <c r="D28" s="5" t="n">
        <v>0.12</v>
      </c>
    </row>
    <row r="29">
      <c r="A29" s="4" t="inlineStr">
        <is>
          <t>inp_ma_dr_haircut</t>
        </is>
      </c>
      <c r="B29" s="4" t="inlineStr">
        <is>
          <t>Deferred revenue fair-value haircut</t>
        </is>
      </c>
      <c r="C29" s="4" t="inlineStr">
        <is>
          <t>% of book</t>
        </is>
      </c>
      <c r="D29" s="5" t="n">
        <v>0.3</v>
      </c>
    </row>
    <row r="30">
      <c r="A30" s="4" t="inlineStr">
        <is>
          <t>inp_tax</t>
        </is>
      </c>
      <c r="B30" s="4" t="inlineStr">
        <is>
          <t>Corporation tax rate</t>
        </is>
      </c>
      <c r="C30" s="4" t="inlineStr">
        <is>
          <t>%</t>
        </is>
      </c>
      <c r="D30" s="5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Compare your rebuild with the model</t>
        </is>
      </c>
    </row>
    <row r="2">
      <c r="A2" s="2" t="inlineStr">
        <is>
          <t>Type, in column C, a formula that points at your own calculation. Columns D and E fill in by themselves.</t>
        </is>
      </c>
    </row>
    <row r="4">
      <c r="A4" s="3" t="inlineStr">
        <is>
          <t>Item</t>
        </is>
      </c>
      <c r="B4" s="3" t="inlineStr">
        <is>
          <t>Model value (GBP k)</t>
        </is>
      </c>
      <c r="C4" s="3" t="inlineStr">
        <is>
          <t>Your value</t>
        </is>
      </c>
      <c r="D4" s="3" t="inlineStr">
        <is>
          <t>Difference</t>
        </is>
      </c>
      <c r="E4" s="3" t="inlineStr">
        <is>
          <t>Status</t>
        </is>
      </c>
    </row>
    <row r="5">
      <c r="A5" s="4" t="inlineStr">
        <is>
          <t>ARR bridge, FY1: new-logo ARR, Enterprise</t>
        </is>
      </c>
      <c r="B5" s="6" t="n">
        <v>7731.723844</v>
      </c>
      <c r="C5" s="7" t="n"/>
      <c r="D5" s="8">
        <f>IF(C5="","",C5-B5)</f>
        <v/>
      </c>
      <c r="E5">
        <f>IF(C5="","not yet",IF(ABS(C5-B5)&lt;0.01,"MATCH","DIFFERENT"))</f>
        <v/>
      </c>
    </row>
    <row r="6">
      <c r="A6" s="4" t="inlineStr">
        <is>
          <t>ARR bridge, FY1: expansion, Enterprise</t>
        </is>
      </c>
      <c r="B6" s="6" t="n">
        <v>4009.352371</v>
      </c>
      <c r="C6" s="7" t="n"/>
      <c r="D6" s="8">
        <f>IF(C6="","",C6-B6)</f>
        <v/>
      </c>
      <c r="E6">
        <f>IF(C6="","not yet",IF(ABS(C6-B6)&lt;0.01,"MATCH","DIFFERENT"))</f>
        <v/>
      </c>
    </row>
    <row r="7">
      <c r="A7" s="4" t="inlineStr">
        <is>
          <t>ARR bridge, FY1: churn, Enterprise</t>
        </is>
      </c>
      <c r="B7" s="6" t="n">
        <v>-1878.17003</v>
      </c>
      <c r="C7" s="7" t="n"/>
      <c r="D7" s="8">
        <f>IF(C7="","",C7-B7)</f>
        <v/>
      </c>
      <c r="E7">
        <f>IF(C7="","not yet",IF(ABS(C7-B7)&lt;0.01,"MATCH","DIFFERENT"))</f>
        <v/>
      </c>
    </row>
    <row r="8">
      <c r="A8" s="4" t="inlineStr">
        <is>
          <t>ARR bridge: closing ARR at month 12, Enterprise</t>
        </is>
      </c>
      <c r="B8" s="6" t="n">
        <v>35862.906185</v>
      </c>
      <c r="C8" s="7" t="n"/>
      <c r="D8" s="8">
        <f>IF(C8="","",C8-B8)</f>
        <v/>
      </c>
      <c r="E8">
        <f>IF(C8="","not yet",IF(ABS(C8-B8)&lt;0.01,"MATCH","DIFFERENT"))</f>
        <v/>
      </c>
    </row>
    <row r="9">
      <c r="A9" s="4" t="inlineStr">
        <is>
          <t>ARR bridge: closing ARR at month 24, Enterprise</t>
        </is>
      </c>
      <c r="B9" s="6" t="n">
        <v>47089.695072</v>
      </c>
      <c r="C9" s="7" t="n"/>
      <c r="D9" s="8">
        <f>IF(C9="","",C9-B9)</f>
        <v/>
      </c>
      <c r="E9">
        <f>IF(C9="","not yet",IF(ABS(C9-B9)&lt;0.01,"MATCH","DIFFERENT"))</f>
        <v/>
      </c>
    </row>
    <row r="10">
      <c r="A10" s="4" t="inlineStr">
        <is>
          <t>ARR bridge, FY1: new-logo ARR, Mid-market</t>
        </is>
      </c>
      <c r="B10" s="6" t="n">
        <v>4467.218221</v>
      </c>
      <c r="C10" s="7" t="n"/>
      <c r="D10" s="8">
        <f>IF(C10="","",C10-B10)</f>
        <v/>
      </c>
      <c r="E10">
        <f>IF(C10="","not yet",IF(ABS(C10-B10)&lt;0.01,"MATCH","DIFFERENT"))</f>
        <v/>
      </c>
    </row>
    <row r="11">
      <c r="A11" s="4" t="inlineStr">
        <is>
          <t>ARR bridge, FY1: expansion, Mid-market</t>
        </is>
      </c>
      <c r="B11" s="6" t="n">
        <v>1059.96085</v>
      </c>
      <c r="C11" s="7" t="n"/>
      <c r="D11" s="8">
        <f>IF(C11="","",C11-B11)</f>
        <v/>
      </c>
      <c r="E11">
        <f>IF(C11="","not yet",IF(ABS(C11-B11)&lt;0.01,"MATCH","DIFFERENT"))</f>
        <v/>
      </c>
    </row>
    <row r="12">
      <c r="A12" s="4" t="inlineStr">
        <is>
          <t>ARR bridge, FY1: churn, Mid-market</t>
        </is>
      </c>
      <c r="B12" s="6" t="n">
        <v>-1986.436478</v>
      </c>
      <c r="C12" s="7" t="n"/>
      <c r="D12" s="8">
        <f>IF(C12="","",C12-B12)</f>
        <v/>
      </c>
      <c r="E12">
        <f>IF(C12="","not yet",IF(ABS(C12-B12)&lt;0.01,"MATCH","DIFFERENT"))</f>
        <v/>
      </c>
    </row>
    <row r="13">
      <c r="A13" s="4" t="inlineStr">
        <is>
          <t>ARR bridge: closing ARR at month 12, Mid-market</t>
        </is>
      </c>
      <c r="B13" s="6" t="n">
        <v>17540.742592</v>
      </c>
      <c r="C13" s="7" t="n"/>
      <c r="D13" s="8">
        <f>IF(C13="","",C13-B13)</f>
        <v/>
      </c>
      <c r="E13">
        <f>IF(C13="","not yet",IF(ABS(C13-B13)&lt;0.01,"MATCH","DIFFERENT"))</f>
        <v/>
      </c>
    </row>
    <row r="14">
      <c r="A14" s="4" t="inlineStr">
        <is>
          <t>ARR bridge: closing ARR at month 24, Mid-market</t>
        </is>
      </c>
      <c r="B14" s="6" t="n">
        <v>21231.543989</v>
      </c>
      <c r="C14" s="7" t="n"/>
      <c r="D14" s="8">
        <f>IF(C14="","",C14-B14)</f>
        <v/>
      </c>
      <c r="E14">
        <f>IF(C14="","not yet",IF(ABS(C14-B14)&lt;0.01,"MATCH","DIFFERENT"))</f>
        <v/>
      </c>
    </row>
    <row r="15">
      <c r="A15" s="4" t="inlineStr">
        <is>
          <t>ARR bridge: total closing ARR at month 24</t>
        </is>
      </c>
      <c r="B15" s="6" t="n">
        <v>68321.239061</v>
      </c>
      <c r="C15" s="7" t="n"/>
      <c r="D15" s="8">
        <f>IF(C15="","",C15-B15)</f>
        <v/>
      </c>
      <c r="E15">
        <f>IF(C15="","not yet",IF(ABS(C15-B15)&lt;0.01,"MATCH","DIFFERENT"))</f>
        <v/>
      </c>
    </row>
    <row r="16">
      <c r="A16" s="4" t="inlineStr">
        <is>
          <t>Deferred revenue: subscription invoices raised in FY1 (both segments)</t>
        </is>
      </c>
      <c r="B16" s="6" t="n">
        <v>53578.942064</v>
      </c>
      <c r="C16" s="7" t="n"/>
      <c r="D16" s="8">
        <f>IF(C16="","",C16-B16)</f>
        <v/>
      </c>
      <c r="E16">
        <f>IF(C16="","not yet",IF(ABS(C16-B16)&lt;0.01,"MATCH","DIFFERENT"))</f>
        <v/>
      </c>
    </row>
    <row r="17">
      <c r="A17" s="4" t="inlineStr">
        <is>
          <t>Deferred revenue: subscription revenue recognised in FY1</t>
        </is>
      </c>
      <c r="B17" s="6" t="n">
        <v>47306.007658</v>
      </c>
      <c r="C17" s="7" t="n"/>
      <c r="D17" s="8">
        <f>IF(C17="","",C17-B17)</f>
        <v/>
      </c>
      <c r="E17">
        <f>IF(C17="","not yet",IF(ABS(C17-B17)&lt;0.01,"MATCH","DIFFERENT"))</f>
        <v/>
      </c>
    </row>
    <row r="18">
      <c r="A18" s="4" t="inlineStr">
        <is>
          <t>Deferred revenue: opening subscription deferred revenue</t>
        </is>
      </c>
      <c r="B18" s="6" t="n">
        <v>18333.333333</v>
      </c>
      <c r="C18" s="7" t="n"/>
      <c r="D18" s="8">
        <f>IF(C18="","",C18-B18)</f>
        <v/>
      </c>
      <c r="E18">
        <f>IF(C18="","not yet",IF(ABS(C18-B18)&lt;0.01,"MATCH","DIFFERENT"))</f>
        <v/>
      </c>
    </row>
    <row r="19">
      <c r="A19" s="4" t="inlineStr">
        <is>
          <t>Deferred revenue: closing subscription deferred revenue, month 12</t>
        </is>
      </c>
      <c r="B19" s="6" t="n">
        <v>24606.26774</v>
      </c>
      <c r="C19" s="7" t="n"/>
      <c r="D19" s="8">
        <f>IF(C19="","",C19-B19)</f>
        <v/>
      </c>
      <c r="E19">
        <f>IF(C19="","not yet",IF(ABS(C19-B19)&lt;0.01,"MATCH","DIFFERENT"))</f>
        <v/>
      </c>
    </row>
    <row r="20">
      <c r="A20" s="4" t="inlineStr">
        <is>
          <t>Deferred revenue: closing subscription deferred revenue, month 24</t>
        </is>
      </c>
      <c r="B20" s="6" t="n">
        <v>31613.924181</v>
      </c>
      <c r="C20" s="7" t="n"/>
      <c r="D20" s="8">
        <f>IF(C20="","",C20-B20)</f>
        <v/>
      </c>
      <c r="E20">
        <f>IF(C20="","not yet",IF(ABS(C20-B20)&lt;0.01,"MATCH","DIFFERENT"))</f>
        <v/>
      </c>
    </row>
    <row r="21">
      <c r="A21" s="4" t="inlineStr">
        <is>
          <t>Goodwill: equity purchase price</t>
        </is>
      </c>
      <c r="B21" s="6" t="n">
        <v>30500</v>
      </c>
      <c r="C21" s="7" t="n"/>
      <c r="D21" s="8">
        <f>IF(C21="","",C21-B21)</f>
        <v/>
      </c>
      <c r="E21">
        <f>IF(C21="","not yet",IF(ABS(C21-B21)&lt;0.01,"MATCH","DIFFERENT"))</f>
        <v/>
      </c>
    </row>
    <row r="22">
      <c r="A22" s="4" t="inlineStr">
        <is>
          <t>Goodwill: fair value of identifiable net assets, IFRS 3</t>
        </is>
      </c>
      <c r="B22" s="6" t="n">
        <v>11330</v>
      </c>
      <c r="C22" s="7" t="n"/>
      <c r="D22" s="8">
        <f>IF(C22="","",C22-B22)</f>
        <v/>
      </c>
      <c r="E22">
        <f>IF(C22="","not yet",IF(ABS(C22-B22)&lt;0.01,"MATCH","DIFFERENT"))</f>
        <v/>
      </c>
    </row>
    <row r="23">
      <c r="A23" s="4" t="inlineStr">
        <is>
          <t>Goodwill: IFRS 3</t>
        </is>
      </c>
      <c r="B23" s="6" t="n">
        <v>19170</v>
      </c>
      <c r="C23" s="7" t="n"/>
      <c r="D23" s="8">
        <f>IF(C23="","",C23-B23)</f>
        <v/>
      </c>
      <c r="E23">
        <f>IF(C23="","not yet",IF(ABS(C23-B23)&lt;0.01,"MATCH","DIFFERENT"))</f>
        <v/>
      </c>
    </row>
    <row r="24">
      <c r="A24" s="4" t="inlineStr">
        <is>
          <t>Goodwill: US GAAP (ASU 2021-08)</t>
        </is>
      </c>
      <c r="B24" s="6" t="n">
        <v>19995</v>
      </c>
      <c r="C24" s="7" t="n"/>
      <c r="D24" s="8">
        <f>IF(C24="","",C24-B24)</f>
        <v/>
      </c>
      <c r="E24">
        <f>IF(C24="","not yet",IF(ABS(C24-B24)&lt;0.01,"MATCH","DIFFERENT"))</f>
        <v/>
      </c>
    </row>
    <row r="26">
      <c r="A26" s="1" t="inlineStr">
        <is>
          <t>Items matched</t>
        </is>
      </c>
      <c r="B26" s="1">
        <f>COUNTIF(E5:E24,"MATCH")&amp;" of 20"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Your ARR: build it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Your DeferredRevenue: build it 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Your Goodwill: build it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2026-10-15T21:16:13Z</dcterms:created>
  <dcterms:modified xsi:type="dcterms:W3CDTF">2026-10-15T21:16:13Z</dcterms:modified>
</cp:coreProperties>
</file>