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_Drivers" sheetId="2" state="visible" r:id="rId2"/>
    <sheet xmlns:r="http://schemas.openxmlformats.org/officeDocument/2006/relationships" name="Inputs_Scenarios" sheetId="3" state="visible" r:id="rId3"/>
    <sheet xmlns:r="http://schemas.openxmlformats.org/officeDocument/2006/relationships" name="Rev_Build" sheetId="4" state="visible" r:id="rId4"/>
    <sheet xmlns:r="http://schemas.openxmlformats.org/officeDocument/2006/relationships" name="Rev_Rec" sheetId="5" state="visible" r:id="rId5"/>
    <sheet xmlns:r="http://schemas.openxmlformats.org/officeDocument/2006/relationships" name="Headcount_Opex" sheetId="6" state="visible" r:id="rId6"/>
    <sheet xmlns:r="http://schemas.openxmlformats.org/officeDocument/2006/relationships" name="Contract_Costs" sheetId="7" state="visible" r:id="rId7"/>
    <sheet xmlns:r="http://schemas.openxmlformats.org/officeDocument/2006/relationships" name="COGS" sheetId="8" state="visible" r:id="rId8"/>
    <sheet xmlns:r="http://schemas.openxmlformats.org/officeDocument/2006/relationships" name="IS" sheetId="9" state="visible" r:id="rId9"/>
    <sheet xmlns:r="http://schemas.openxmlformats.org/officeDocument/2006/relationships" name="BS" sheetId="10" state="visible" r:id="rId10"/>
    <sheet xmlns:r="http://schemas.openxmlformats.org/officeDocument/2006/relationships" name="CF" sheetId="11" state="visible" r:id="rId11"/>
    <sheet xmlns:r="http://schemas.openxmlformats.org/officeDocument/2006/relationships" name="SaaS_Metrics" sheetId="12" state="visible" r:id="rId12"/>
    <sheet xmlns:r="http://schemas.openxmlformats.org/officeDocument/2006/relationships" name="LT_Model" sheetId="13" state="visible" r:id="rId13"/>
    <sheet xmlns:r="http://schemas.openxmlformats.org/officeDocument/2006/relationships" name="Inputs_Budget" sheetId="14" state="visible" r:id="rId14"/>
    <sheet xmlns:r="http://schemas.openxmlformats.org/officeDocument/2006/relationships" name="Budget_vs_Forecast" sheetId="15" state="visible" r:id="rId15"/>
    <sheet xmlns:r="http://schemas.openxmlformats.org/officeDocument/2006/relationships" name="Lever_Analysis" sheetId="16" state="visible" r:id="rId16"/>
    <sheet xmlns:r="http://schemas.openxmlformats.org/officeDocument/2006/relationships" name="Sensitivity" sheetId="17" state="visible" r:id="rId17"/>
    <sheet xmlns:r="http://schemas.openxmlformats.org/officeDocument/2006/relationships" name="Business_Review" sheetId="18" state="visible" r:id="rId18"/>
    <sheet xmlns:r="http://schemas.openxmlformats.org/officeDocument/2006/relationships" name="MA_Target" sheetId="19" state="visible" r:id="rId19"/>
    <sheet xmlns:r="http://schemas.openxmlformats.org/officeDocument/2006/relationships" name="MA_PPA" sheetId="20" state="visible" r:id="rId20"/>
    <sheet xmlns:r="http://schemas.openxmlformats.org/officeDocument/2006/relationships" name="MA_ProForma" sheetId="21" state="visible" r:id="rId21"/>
    <sheet xmlns:r="http://schemas.openxmlformats.org/officeDocument/2006/relationships" name="Inputs_Comps" sheetId="22" state="visible" r:id="rId22"/>
    <sheet xmlns:r="http://schemas.openxmlformats.org/officeDocument/2006/relationships" name="MA_Valuation" sheetId="23" state="visible" r:id="rId23"/>
    <sheet xmlns:r="http://schemas.openxmlformats.org/officeDocument/2006/relationships" name="MA_Returns" sheetId="24" state="visible" r:id="rId24"/>
    <sheet xmlns:r="http://schemas.openxmlformats.org/officeDocument/2006/relationships" name="Outputs_Web" sheetId="25" state="visible" r:id="rId25"/>
    <sheet xmlns:r="http://schemas.openxmlformats.org/officeDocument/2006/relationships" name="Checks" sheetId="26" state="visible" r:id="rId26"/>
  </sheets>
  <definedNames>
    <definedName name="inp_scenario">Inputs_Drivers!$C$4</definedName>
    <definedName name="inp_scen_idx">Inputs_Drivers!$C$5</definedName>
    <definedName name="inp_logos_ent">Inputs_Drivers!$C$9</definedName>
    <definedName name="inp_logos_mid">Inputs_Drivers!$C$10</definedName>
    <definedName name="inp_logo_growth">Inputs_Drivers!$C$11</definedName>
    <definedName name="inp_acv_ent">Inputs_Drivers!$C$13</definedName>
    <definedName name="inp_acv_mid">Inputs_Drivers!$C$14</definedName>
    <definedName name="inp_price_uplift">Inputs_Drivers!$C$15</definedName>
    <definedName name="inp_exp_ent">Inputs_Drivers!$C$17</definedName>
    <definedName name="inp_exp_mid">Inputs_Drivers!$C$18</definedName>
    <definedName name="inp_churn_ent">Inputs_Drivers!$C$19</definedName>
    <definedName name="inp_churn_mid">Inputs_Drivers!$C$20</definedName>
    <definedName name="inp_hires_rd">Inputs_Drivers!$C$22</definedName>
    <definedName name="inp_hires_sm">Inputs_Drivers!$C$23</definedName>
    <definedName name="inp_hires_ga">Inputs_Drivers!$C$24</definedName>
    <definedName name="inp_hires_cs">Inputs_Drivers!$C$25</definedName>
    <definedName name="inp_dso">Inputs_Drivers!$C$27</definedName>
    <definedName name="inp_model_start">Inputs_Drivers!$C$29</definedName>
    <definedName name="inp_arr_open_ent">Inputs_Drivers!$C$30</definedName>
    <definedName name="inp_arr_open_mid">Inputs_Drivers!$C$31</definedName>
    <definedName name="inp_cust_open_ent">Inputs_Drivers!$C$32</definedName>
    <definedName name="inp_cust_open_mid">Inputs_Drivers!$C$33</definedName>
    <definedName name="inp_open_cash">Inputs_Drivers!$C$34</definedName>
    <definedName name="inp_open_ar">Inputs_Drivers!$C$35</definedName>
    <definedName name="inp_open_ppe">Inputs_Drivers!$C$36</definedName>
    <definedName name="inp_open_ap">Inputs_Drivers!$C$37</definedName>
    <definedName name="inp_open_defrev_impl">Inputs_Drivers!$C$38</definedName>
    <definedName name="inp_heads_open_rd">Inputs_Drivers!$C$40</definedName>
    <definedName name="inp_heads_open_sm">Inputs_Drivers!$C$41</definedName>
    <definedName name="inp_heads_open_ga">Inputs_Drivers!$C$42</definedName>
    <definedName name="inp_heads_open_cs">Inputs_Drivers!$C$43</definedName>
    <definedName name="inp_sal_rd">Inputs_Drivers!$C$44</definedName>
    <definedName name="inp_sal_sm">Inputs_Drivers!$C$45</definedName>
    <definedName name="inp_sal_ga">Inputs_Drivers!$C$46</definedName>
    <definedName name="inp_sal_cs">Inputs_Drivers!$C$47</definedName>
    <definedName name="inp_merit">Inputs_Drivers!$C$48</definedName>
    <definedName name="inp_marketing_m">Inputs_Drivers!$C$50</definedName>
    <definedName name="inp_rd_other_m">Inputs_Drivers!$C$51</definedName>
    <definedName name="inp_ga_other_m">Inputs_Drivers!$C$52</definedName>
    <definedName name="inp_commission_pct">Inputs_Drivers!$C$53</definedName>
    <definedName name="inp_capitalise_commission">Inputs_Drivers!$C$54</definedName>
    <definedName name="inp_cc_life">Inputs_Drivers!$C$55</definedName>
    <definedName name="inp_open_cca">Inputs_Drivers!$C$56</definedName>
    <definedName name="inp_host_ent">Inputs_Drivers!$C$57</definedName>
    <definedName name="inp_host_mid">Inputs_Drivers!$C$58</definedName>
    <definedName name="inp_licence_pct">Inputs_Drivers!$C$59</definedName>
    <definedName name="inp_impl_fee_pct">Inputs_Drivers!$C$60</definedName>
    <definedName name="inp_services_cost_pct">Inputs_Drivers!$C$61</definedName>
    <definedName name="inp_v_logos">Inputs_Drivers!$C$63</definedName>
    <definedName name="inp_v_exp">Inputs_Drivers!$C$64</definedName>
    <definedName name="inp_v_churn">Inputs_Drivers!$C$65</definedName>
    <definedName name="inp_ma_syn_achieved">Inputs_Drivers!$C$66</definedName>
    <definedName name="inp_ma_include">Inputs_Drivers!$C$68</definedName>
    <definedName name="inp_ma_offer_mult">Inputs_Drivers!$C$69</definedName>
    <definedName name="inp_ma_debt">Inputs_Drivers!$C$70</definedName>
    <definedName name="inp_ma_loan_rate">Inputs_Drivers!$C$71</definedName>
    <definedName name="inp_ma_deal_cost_pct">Inputs_Drivers!$C$72</definedName>
    <definedName name="inp_ma_integration_total">Inputs_Drivers!$C$73</definedName>
    <definedName name="inp_ma_integration_months">Inputs_Drivers!$C$74</definedName>
    <definedName name="inp_ma_xsell_logos_m">Inputs_Drivers!$C$75</definedName>
    <definedName name="inp_ma_xsell_acv">Inputs_Drivers!$C$76</definedName>
    <definedName name="inp_ma_syn_start">Inputs_Drivers!$C$77</definedName>
    <definedName name="inp_ma_syn_ramp">Inputs_Drivers!$C$78</definedName>
    <definedName name="inp_ma_syn_margin">Inputs_Drivers!$C$79</definedName>
    <definedName name="inp_ma_cost_syn">Inputs_Drivers!$C$80</definedName>
    <definedName name="inp_ma_ic_annual">Inputs_Drivers!$C$81</definedName>
    <definedName name="inp_ma_dr_haircut">Inputs_Drivers!$C$83</definedName>
    <definedName name="inp_ma_cr_pct">Inputs_Drivers!$C$84</definedName>
    <definedName name="inp_ma_tech_pct">Inputs_Drivers!$C$85</definedName>
    <definedName name="inp_ma_cr_life">Inputs_Drivers!$C$86</definedName>
    <definedName name="inp_ma_tech_life">Inputs_Drivers!$C$87</definedName>
    <definedName name="inp_ma_wacc">Inputs_Drivers!$C$89</definedName>
    <definedName name="inp_ma_tg">Inputs_Drivers!$C$90</definedName>
    <definedName name="inp_ma_wacc_band">Inputs_Drivers!$C$91</definedName>
    <definedName name="inp_ma_tg_band">Inputs_Drivers!$C$92</definedName>
    <definedName name="inp_ma_fade">Inputs_Drivers!$C$93</definedName>
    <definedName name="inp_v_arr_open">Inputs_Drivers!$C$95</definedName>
    <definedName name="inp_v_cust_open">Inputs_Drivers!$C$96</definedName>
    <definedName name="inp_v_acv">Inputs_Drivers!$C$97</definedName>
    <definedName name="inp_v_cogs_pct">Inputs_Drivers!$C$98</definedName>
    <definedName name="inp_v_rd_pct">Inputs_Drivers!$C$99</definedName>
    <definedName name="inp_v_sm_pct">Inputs_Drivers!$C$100</definedName>
    <definedName name="inp_v_ga_pct">Inputs_Drivers!$C$101</definedName>
    <definedName name="inp_v_dso">Inputs_Drivers!$C$102</definedName>
    <definedName name="inp_v_ap_months">Inputs_Drivers!$C$103</definedName>
    <definedName name="inp_v_capex_pct">Inputs_Drivers!$C$104</definedName>
    <definedName name="inp_v_dep_life">Inputs_Drivers!$C$105</definedName>
    <definedName name="inp_v_open_cash">Inputs_Drivers!$C$106</definedName>
    <definedName name="inp_v_open_ar">Inputs_Drivers!$C$107</definedName>
    <definedName name="inp_v_open_ppe">Inputs_Drivers!$C$108</definedName>
    <definedName name="inp_lt_newarr_growth">Inputs_Drivers!$C$110</definedName>
    <definedName name="inp_lt_nrr_step">Inputs_Drivers!$C$111</definedName>
    <definedName name="inp_lt_gm_step">Inputs_Drivers!$C$112</definedName>
    <definedName name="inp_lt_rd_step">Inputs_Drivers!$C$113</definedName>
    <definedName name="inp_lt_sm_step">Inputs_Drivers!$C$114</definedName>
    <definedName name="inp_lt_ga_step">Inputs_Drivers!$C$115</definedName>
    <definedName name="inp_capex_pct">Inputs_Drivers!$C$117</definedName>
    <definedName name="inp_dep_life">Inputs_Drivers!$C$118</definedName>
    <definedName name="inp_interest">Inputs_Drivers!$C$119</definedName>
    <definedName name="inp_tax">Inputs_Drivers!$C$120</definedName>
    <definedName name="inp_dpo">Inputs_Drivers!$C$121</definedName>
    <definedName name="chk_tol">Checks!$C$3</definedName>
    <definedName name="chk_master">Checks!$E$45</definedName>
    <definedName name="chk_warnings">Checks!$E$59</definedName>
    <definedName name="out_rev_fy1">Outputs_Web!$D$6</definedName>
    <definedName name="out_rev_fy2">Outputs_Web!$D$7</definedName>
    <definedName name="out_ebitda_fy1">Outputs_Web!$D$8</definedName>
    <definedName name="out_ebitda_fy2">Outputs_Web!$D$9</definedName>
    <definedName name="out_arr12">Outputs_Web!$D$10</definedName>
    <definedName name="out_arr24">Outputs_Web!$D$11</definedName>
    <definedName name="out_growth12">Outputs_Web!$D$12</definedName>
    <definedName name="out_nrr12">Outputs_Web!$D$13</definedName>
    <definedName name="out_grr12">Outputs_Web!$D$14</definedName>
    <definedName name="out_payback12">Outputs_Web!$D$15</definedName>
    <definedName name="out_ltvcac12">Outputs_Web!$D$16</definedName>
    <definedName name="out_cash24">Outputs_Web!$D$17</definedName>
    <definedName name="out_mincash">Outputs_Web!$D$18</definedName>
    <definedName name="out_fte24">Outputs_Web!$D$19</definedName>
    <definedName name="out_rule40_24">Outputs_Web!$D$20</definedName>
    <definedName name="out_ma_value">Outputs_Web!$D$21</definedName>
    <definedName name="out_pf_arr24">Outputs_Web!$D$22</definedName>
    <definedName name="out_pf_cash24">Outputs_Web!$D$23</definedName>
    <definedName name="out_pf_mincash">Outputs_Web!$D$24</definedName>
    <definedName name="out_master_check">Outputs_Web!$D$25</definedName>
    <definedName name="out_warnings">Outputs_Web!$D$26</definedName>
    <definedName name="out_scenario">Outputs_Web!$D$27</definedName>
    <definedName name="out_goodwill_ifrs">Outputs_Web!$D$28</definedName>
    <definedName name="out_goodwill_usgaap">Outputs_Web!$D$29</definedName>
    <definedName name="out_ma_ev">Outputs_Web!$D$30</definedName>
    <definedName name="out_ma_price">Outputs_Web!$D$31</definedName>
    <definedName name="out_ma_verdict">Outputs_Web!$D$32</definedName>
    <definedName name="out_ma_breakeven">Outputs_Web!$D$33</definedName>
    <definedName name="out_ma_payback">Outputs_Web!$D$34</definedName>
    <definedName name="out_ma_premium">Outputs_Web!$D$35</definedName>
    <definedName name="out_ma_accretion">Outputs_Web!$D$36</definedName>
    <definedName name="out_ma_funding_flag">Outputs_Web!$D$37</definedName>
    <definedName name="out_ma_dcf_ev">Outputs_Web!$D$38</definedName>
    <definedName name="out_t">Outputs_Web!$D$42:$AB$42</definedName>
    <definedName name="out_period_end">Outputs_Web!$D$43:$AB$43</definedName>
    <definedName name="out_year">Outputs_Web!$D$44:$AB$44</definedName>
    <definedName name="out_quarter">Outputs_Web!$D$45:$AB$45</definedName>
    <definedName name="out_rb_logos_ent">Outputs_Web!$D$46:$AD$46</definedName>
    <definedName name="out_rb_acv_ent">Outputs_Web!$D$47:$AD$47</definedName>
    <definedName name="out_rb_churn_m_ent">Outputs_Web!$D$48:$AD$48</definedName>
    <definedName name="out_rb_exp_m_ent">Outputs_Web!$D$49:$AD$49</definedName>
    <definedName name="out_rb_logos_mid">Outputs_Web!$D$50:$AD$50</definedName>
    <definedName name="out_rb_acv_mid">Outputs_Web!$D$51:$AD$51</definedName>
    <definedName name="out_rb_churn_m_mid">Outputs_Web!$D$52:$AD$52</definedName>
    <definedName name="out_rb_exp_m_mid">Outputs_Web!$D$53:$AD$53</definedName>
    <definedName name="out_rb_arr_open">Outputs_Web!$D$54:$AD$54</definedName>
    <definedName name="out_rb_arr_new">Outputs_Web!$D$55:$AD$55</definedName>
    <definedName name="out_rb_arr_exp">Outputs_Web!$D$56:$AD$56</definedName>
    <definedName name="out_rb_arr_churn">Outputs_Web!$D$57:$AD$57</definedName>
    <definedName name="out_rb_arr_close">Outputs_Web!$D$58:$AD$58</definedName>
    <definedName name="out_rb_cust_close">Outputs_Web!$D$59:$AD$59</definedName>
    <definedName name="out_rb_arr_close_ent">Outputs_Web!$D$60:$AD$60</definedName>
    <definedName name="out_rb_arr_close_mid">Outputs_Web!$D$61:$AD$61</definedName>
    <definedName name="out_rb_arr_new_ent">Outputs_Web!$D$62:$AD$62</definedName>
    <definedName name="out_rb_arr_new_mid">Outputs_Web!$D$63:$AD$63</definedName>
    <definedName name="out_rb_arr_exp_ent">Outputs_Web!$D$64:$AD$64</definedName>
    <definedName name="out_rb_arr_exp_mid">Outputs_Web!$D$65:$AD$65</definedName>
    <definedName name="out_rb_arr_churn_ent">Outputs_Web!$D$66:$AD$66</definedName>
    <definedName name="out_rb_arr_churn_mid">Outputs_Web!$D$67:$AD$67</definedName>
    <definedName name="out_rb_cust_close_ent">Outputs_Web!$D$68:$AD$68</definedName>
    <definedName name="out_rb_cust_close_mid">Outputs_Web!$D$69:$AD$69</definedName>
    <definedName name="out_rr_inv_tot">Outputs_Web!$D$70:$AD$70</definedName>
    <definedName name="out_rr_fee_impl">Outputs_Web!$D$71:$AD$71</definedName>
    <definedName name="out_rr_bill_tot">Outputs_Web!$D$72:$AD$72</definedName>
    <definedName name="out_rr_rev_ent">Outputs_Web!$D$73:$AD$73</definedName>
    <definedName name="out_rr_rev_mid">Outputs_Web!$D$74:$AD$74</definedName>
    <definedName name="out_rr_rev_sub">Outputs_Web!$D$75:$AD$75</definedName>
    <definedName name="out_rr_rev_impl">Outputs_Web!$D$76:$AD$76</definedName>
    <definedName name="out_rr_rev_tot">Outputs_Web!$D$77:$AD$77</definedName>
    <definedName name="out_rr_def_sub_close">Outputs_Web!$D$78:$AD$78</definedName>
    <definedName name="out_rr_def_imp_close">Outputs_Web!$D$79:$AD$79</definedName>
    <definedName name="out_rr_def_tot">Outputs_Web!$D$80:$AD$80</definedName>
    <definedName name="out_rr_ar">Outputs_Web!$D$81:$AD$81</definedName>
    <definedName name="out_hc_h_close_rd">Outputs_Web!$D$82:$AD$82</definedName>
    <definedName name="out_hc_h_close_sm">Outputs_Web!$D$83:$AD$83</definedName>
    <definedName name="out_hc_h_close_ga">Outputs_Web!$D$84:$AD$84</definedName>
    <definedName name="out_hc_h_close_cs">Outputs_Web!$D$85:$AD$85</definedName>
    <definedName name="out_hc_fte_close">Outputs_Web!$D$86:$AD$86</definedName>
    <definedName name="out_hc_pay_tot">Outputs_Web!$D$87:$AD$87</definedName>
    <definedName name="out_hc_commission">Outputs_Web!$D$88:$AD$88</definedName>
    <definedName name="out_hc_opex_rd">Outputs_Web!$D$89:$AD$89</definedName>
    <definedName name="out_hc_opex_sm">Outputs_Web!$D$90:$AD$90</definedName>
    <definedName name="out_hc_opex_ga">Outputs_Web!$D$91:$AD$91</definedName>
    <definedName name="out_hc_opex_tot">Outputs_Web!$D$92:$AD$92</definedName>
    <definedName name="out_cc_cap">Outputs_Web!$D$93:$AD$93</definedName>
    <definedName name="out_cc_a_amort">Outputs_Web!$D$94:$AD$94</definedName>
    <definedName name="out_cc_a_close">Outputs_Web!$D$95:$AD$95</definedName>
    <definedName name="out_cc_pl_charge">Outputs_Web!$D$96:$AD$96</definedName>
    <definedName name="out_cogs_host">Outputs_Web!$D$97:$AD$97</definedName>
    <definedName name="out_cogs_lic">Outputs_Web!$D$98:$AD$98</definedName>
    <definedName name="out_cogs_support">Outputs_Web!$D$99:$AD$99</definedName>
    <definedName name="out_cogs_svc">Outputs_Web!$D$100:$AD$100</definedName>
    <definedName name="out_cogs_cogs_tot">Outputs_Web!$D$101:$AD$101</definedName>
    <definedName name="out_cogs_gm_sub">Outputs_Web!$D$102:$AD$102</definedName>
    <definedName name="out_cogs_gm_svc">Outputs_Web!$D$103:$AD$103</definedName>
    <definedName name="out_cogs_gm_tot">Outputs_Web!$D$104:$AD$104</definedName>
    <definedName name="out_is_rev_ent">Outputs_Web!$D$105:$AD$105</definedName>
    <definedName name="out_is_rev_mid">Outputs_Web!$D$106:$AD$106</definedName>
    <definedName name="out_is_rev_impl">Outputs_Web!$D$107:$AD$107</definedName>
    <definedName name="out_is_rev_tot">Outputs_Web!$D$108:$AD$108</definedName>
    <definedName name="out_is_c_host">Outputs_Web!$D$109:$AD$109</definedName>
    <definedName name="out_is_c_lic">Outputs_Web!$D$110:$AD$110</definedName>
    <definedName name="out_is_c_support">Outputs_Web!$D$111:$AD$111</definedName>
    <definedName name="out_is_c_svc">Outputs_Web!$D$112:$AD$112</definedName>
    <definedName name="out_is_cogs_tot">Outputs_Web!$D$113:$AD$113</definedName>
    <definedName name="out_is_gp">Outputs_Web!$D$114:$AD$114</definedName>
    <definedName name="out_is_gm">Outputs_Web!$D$115:$AD$115</definedName>
    <definedName name="out_is_o_rd">Outputs_Web!$D$116:$AD$116</definedName>
    <definedName name="out_is_o_sm">Outputs_Web!$D$117:$AD$117</definedName>
    <definedName name="out_is_o_ga">Outputs_Web!$D$118:$AD$118</definedName>
    <definedName name="out_is_opex_tot">Outputs_Web!$D$119:$AD$119</definedName>
    <definedName name="out_is_ebitda">Outputs_Web!$D$120:$AD$120</definedName>
    <definedName name="out_is_ebitda_m">Outputs_Web!$D$121:$AD$121</definedName>
    <definedName name="out_is_da">Outputs_Web!$D$122:$AD$122</definedName>
    <definedName name="out_is_ebit">Outputs_Web!$D$123:$AD$123</definedName>
    <definedName name="out_is_interest">Outputs_Web!$D$124:$AD$124</definedName>
    <definedName name="out_is_pbt">Outputs_Web!$D$125:$AD$125</definedName>
    <definedName name="out_is_tax">Outputs_Web!$D$126:$AD$126</definedName>
    <definedName name="out_is_ni">Outputs_Web!$D$127:$AD$127</definedName>
    <definedName name="out_bs_cash">Outputs_Web!$D$128:$AD$128</definedName>
    <definedName name="out_bs_ar">Outputs_Web!$D$129:$AD$129</definedName>
    <definedName name="out_bs_ppe">Outputs_Web!$D$130:$AD$130</definedName>
    <definedName name="out_bs_cca">Outputs_Web!$D$131:$AD$131</definedName>
    <definedName name="out_bs_ta">Outputs_Web!$D$132:$AD$132</definedName>
    <definedName name="out_bs_ap">Outputs_Web!$D$133:$AD$133</definedName>
    <definedName name="out_bs_defrev">Outputs_Web!$D$134:$AD$134</definedName>
    <definedName name="out_bs_tl">Outputs_Web!$D$135:$AD$135</definedName>
    <definedName name="out_bs_equity">Outputs_Web!$D$136:$AD$136</definedName>
    <definedName name="out_bs_check">Outputs_Web!$D$137:$AD$137</definedName>
    <definedName name="out_cf_ni">Outputs_Web!$D$138:$AD$138</definedName>
    <definedName name="out_cf_da">Outputs_Web!$D$139:$AD$139</definedName>
    <definedName name="out_cf_d_ar">Outputs_Web!$D$140:$AD$140</definedName>
    <definedName name="out_cf_d_ap">Outputs_Web!$D$141:$AD$141</definedName>
    <definedName name="out_cf_d_def">Outputs_Web!$D$142:$AD$142</definedName>
    <definedName name="out_cf_d_cca">Outputs_Web!$D$143:$AD$143</definedName>
    <definedName name="out_cf_cfo">Outputs_Web!$D$144:$AD$144</definedName>
    <definedName name="out_cf_capex">Outputs_Web!$D$145:$AD$145</definedName>
    <definedName name="out_cf_cfi">Outputs_Web!$D$146:$AD$146</definedName>
    <definedName name="out_cf_net">Outputs_Web!$D$147:$AD$147</definedName>
    <definedName name="out_cf_cash_open">Outputs_Web!$D$148:$AD$148</definedName>
    <definedName name="out_cf_cash_close">Outputs_Web!$D$149:$AD$149</definedName>
    <definedName name="out_sm_arr_open">Outputs_Web!$D$150:$AD$150</definedName>
    <definedName name="out_sm_arr_new">Outputs_Web!$D$151:$AD$151</definedName>
    <definedName name="out_sm_arr_exp">Outputs_Web!$D$152:$AD$152</definedName>
    <definedName name="out_sm_arr_churn">Outputs_Web!$D$153:$AD$153</definedName>
    <definedName name="out_sm_arr_close">Outputs_Web!$D$154:$AD$154</definedName>
    <definedName name="out_sm_netnew">Outputs_Web!$D$155:$AD$155</definedName>
    <definedName name="out_sm_growth">Outputs_Web!$D$156:$AD$156</definedName>
    <definedName name="out_sm_nrr">Outputs_Web!$D$157:$AD$157</definedName>
    <definedName name="out_sm_grr">Outputs_Web!$D$158:$AD$158</definedName>
    <definedName name="out_sm_logo_churn">Outputs_Web!$D$159:$AD$159</definedName>
    <definedName name="out_sm_sm_spend">Outputs_Web!$D$160:$AD$160</definedName>
    <definedName name="out_sm_cac">Outputs_Web!$D$161:$AD$161</definedName>
    <definedName name="out_sm_gm">Outputs_Web!$D$162:$AD$162</definedName>
    <definedName name="out_sm_payback">Outputs_Web!$D$163:$AD$163</definedName>
    <definedName name="out_sm_arpa">Outputs_Web!$D$164:$AD$164</definedName>
    <definedName name="out_sm_ltv">Outputs_Web!$D$165:$AD$165</definedName>
    <definedName name="out_sm_ltv_cac">Outputs_Web!$D$166:$AD$166</definedName>
    <definedName name="out_sm_magic">Outputs_Web!$D$167:$AD$167</definedName>
    <definedName name="out_sm_netburn">Outputs_Web!$D$168:$AD$168</definedName>
    <definedName name="out_sm_burn_mult">Outputs_Web!$D$169:$AD$169</definedName>
    <definedName name="out_sm_runway">Outputs_Web!$D$170:$AD$170</definedName>
    <definedName name="out_sm_rule40">Outputs_Web!$D$171:$AD$171</definedName>
    <definedName name="out_sm_arr_fte">Outputs_Web!$D$172:$AD$172</definedName>
    <definedName name="out_mt_arr_close">Outputs_Web!$D$173:$AD$173</definedName>
    <definedName name="out_mt_rev">Outputs_Web!$D$174:$AD$174</definedName>
    <definedName name="out_mt_ebitda">Outputs_Web!$D$175:$AD$175</definedName>
    <definedName name="out_mt_ni">Outputs_Web!$D$176:$AD$176</definedName>
    <definedName name="out_mt_cash_close">Outputs_Web!$D$177:$AD$177</definedName>
    <definedName name="out_mt_ufcf">Outputs_Web!$D$178:$AD$178</definedName>
    <definedName name="out_pf_pf_rev">Outputs_Web!$D$179:$AD$179</definedName>
    <definedName name="out_pf_pf_ebitda">Outputs_Web!$D$180:$AD$180</definedName>
    <definedName name="out_pf_pf_ni">Outputs_Web!$D$181:$AD$181</definedName>
    <definedName name="out_pf_pf_fcf">Outputs_Web!$D$182:$AD$182</definedName>
    <definedName name="out_pf_pf_cash">Outputs_Web!$D$183:$AD$183</definedName>
    <definedName name="out_pf_pf_arr">Outputs_Web!$D$184:$AD$184</definedName>
    <definedName name="out_pf_pf_growth">Outputs_Web!$D$185:$AD$185</definedName>
    <definedName name="out_pf_pf_nrr">Outputs_Web!$D$186:$AD$186</definedName>
    <definedName name="out_pf_pf_ebitda_m">Outputs_Web!$D$187:$AD$187</definedName>
    <definedName name="out_pf_pf_rule40">Outputs_Web!$D$188:$AD$188</definedName>
    <definedName name="out_pf_pf_burn_mult">Outputs_Web!$D$189:$AD$189</definedName>
    <definedName name="out_pf_pf_runway">Outputs_Web!$D$190:$AD$190</definedName>
    <definedName name="out_pf_syn_arr">Outputs_Web!$D$191:$AD$191</definedName>
    <definedName name="out_pf_syn_rev">Outputs_Web!$D$192:$AD$192</definedName>
    <definedName name="out_pf_syn_ebitda">Outputs_Web!$D$193:$AD$193</definedName>
    <definedName name="out_pf_integ">Outputs_Web!$D$194:$AD$194</definedName>
    <definedName name="out_pf_txn">Outputs_Web!$D$195:$AD$195</definedName>
    <definedName name="out_pf_hc_loss">Outputs_Web!$D$196:$AD$196</definedName>
    <definedName name="out_pf_amort">Outputs_Web!$D$197:$AD$197</definedName>
    <definedName name="out_pf_int_loan">Outputs_Web!$D$198:$AD$198</definedName>
    <definedName name="out_pf_ic_rev">Outputs_Web!$D$199:$AD$199</definedName>
    <definedName name="out_pf_pb_cash">Outputs_Web!$D$200:$AD$200</definedName>
    <definedName name="out_pf_pb_ar">Outputs_Web!$D$201:$AD$201</definedName>
    <definedName name="out_pf_pb_ppe">Outputs_Web!$D$202:$AD$202</definedName>
    <definedName name="out_pf_pb_cca">Outputs_Web!$D$203:$AD$203</definedName>
    <definedName name="out_pf_pb_int">Outputs_Web!$D$204:$AD$204</definedName>
    <definedName name="out_pf_pb_gw">Outputs_Web!$D$205:$AD$205</definedName>
    <definedName name="out_pf_pb_ta">Outputs_Web!$D$206:$AD$206</definedName>
    <definedName name="out_pf_pb_ap">Outputs_Web!$D$207:$AD$207</definedName>
    <definedName name="out_pf_pb_dr">Outputs_Web!$D$208:$AD$208</definedName>
    <definedName name="out_pf_pb_loan">Outputs_Web!$D$209:$AD$209</definedName>
    <definedName name="out_pf_pb_dtl">Outputs_Web!$D$210:$AD$210</definedName>
    <definedName name="out_pf_pb_tl">Outputs_Web!$D$211:$AD$211</definedName>
    <definedName name="out_pf_pb_eq">Outputs_Web!$D$212:$AD$212</definedName>
    <definedName name="out_pf_pb_check">Outputs_Web!$D$213:$AD$213</definedName>
    <definedName name="out_lt_arr_open">Outputs_Web!$D$217:$H$217</definedName>
    <definedName name="out_lt_arr_new">Outputs_Web!$D$218:$H$218</definedName>
    <definedName name="out_lt_arr_exp">Outputs_Web!$D$219:$H$219</definedName>
    <definedName name="out_lt_arr_churn">Outputs_Web!$D$220:$H$220</definedName>
    <definedName name="out_lt_arr_close">Outputs_Web!$D$221:$H$221</definedName>
    <definedName name="out_lt_exp_rate">Outputs_Web!$D$222:$H$222</definedName>
    <definedName name="out_lt_churn_rate">Outputs_Web!$D$223:$H$223</definedName>
    <definedName name="out_lt_growth">Outputs_Web!$D$224:$H$224</definedName>
    <definedName name="out_lt_nrr">Outputs_Web!$D$225:$H$225</definedName>
    <definedName name="out_lt_rev">Outputs_Web!$D$226:$H$226</definedName>
    <definedName name="out_lt_rev_conv">Outputs_Web!$D$227:$H$227</definedName>
    <definedName name="out_lt_gm">Outputs_Web!$D$228:$H$228</definedName>
    <definedName name="out_lt_gp">Outputs_Web!$D$229:$H$229</definedName>
    <definedName name="out_lt_rd_pct">Outputs_Web!$D$230:$H$230</definedName>
    <definedName name="out_lt_rd">Outputs_Web!$D$231:$H$231</definedName>
    <definedName name="out_lt_sm_pct">Outputs_Web!$D$232:$H$232</definedName>
    <definedName name="out_lt_sm">Outputs_Web!$D$233:$H$233</definedName>
    <definedName name="out_lt_ga_pct">Outputs_Web!$D$234:$H$234</definedName>
    <definedName name="out_lt_ga">Outputs_Web!$D$235:$H$235</definedName>
    <definedName name="out_lt_ebitda">Outputs_Web!$D$236:$H$236</definedName>
    <definedName name="out_lt_ebitda_m">Outputs_Web!$D$237:$H$237</definedName>
    <definedName name="out_lt_da_pct">Outputs_Web!$D$238:$H$238</definedName>
    <definedName name="out_lt_da">Outputs_Web!$D$239:$H$239</definedName>
    <definedName name="out_lt_tax">Outputs_Web!$D$240:$H$240</definedName>
    <definedName name="out_lt_capex">Outputs_Web!$D$241:$H$241</definedName>
    <definedName name="out_lt_def_pct">Outputs_Web!$D$242:$H$242</definedName>
    <definedName name="out_lt_def_close">Outputs_Web!$D$243:$H$243</definedName>
    <definedName name="out_lt_ar_pct">Outputs_Web!$D$244:$H$244</definedName>
    <definedName name="out_lt_ar_close">Outputs_Web!$D$245:$H$245</definedName>
    <definedName name="out_lt_cca_pct">Outputs_Web!$D$246:$H$246</definedName>
    <definedName name="out_lt_cca_close">Outputs_Web!$D$247:$H$247</definedName>
    <definedName name="out_lt_fcf">Outputs_Web!$D$248:$H$248</definedName>
    <definedName name="out_lt_cash_close">Outputs_Web!$D$249:$H$249</definedName>
    <definedName name="out_lt_burn_mult">Outputs_Web!$D$250:$H$250</definedName>
    <definedName name="out_lt_rule40">Outputs_Web!$D$251:$H$251</definedName>
    <definedName name="out_bvf_pl">Outputs_Web!$A$255:$G$264</definedName>
    <definedName name="out_levers">Outputs_Web!$A$268:$B$277</definedName>
    <definedName name="out_bridge_arr">Outputs_Web!$A$281:$C$287</definedName>
    <definedName name="out_bridge_rev">Outputs_Web!$A$291:$C$297</definedName>
    <definedName name="out_bridge_ebitda">Outputs_Web!$A$301:$C$307</definedName>
    <definedName name="out_football">Outputs_Web!$A$311:$D$315</definedName>
    <definedName name="out_ppa">Outputs_Web!$A$319:$C$342</definedName>
    <definedName name="out_checks">Outputs_Web!$A$346:$D$384</definedName>
    <definedName name="out_input_registry">Outputs_Web!$A$388:$J$486</definedName>
    <definedName name="scen_table">Inputs_Scenarios!$A$5:$F$29</definedName>
    <definedName name="scen_names">Inputs_Scenarios!$C$4:$F$4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;(#,##0.0);&quot;-&quot;"/>
    <numFmt numFmtId="165" formatCode="0.0%;(0.0%);&quot;-&quot;"/>
    <numFmt numFmtId="166" formatCode="#,##0;(#,##0);&quot;-&quot;"/>
    <numFmt numFmtId="167" formatCode="yyyy-mm-dd"/>
    <numFmt numFmtId="168" formatCode="#,##0.00;(#,##0.00);&quot;-&quot;"/>
    <numFmt numFmtId="169" formatCode="0.0&quot;x&quot;"/>
    <numFmt numFmtId="170" formatCode="0.000"/>
    <numFmt numFmtId="171" formatCode="0.0"/>
    <numFmt numFmtId="172" formatCode="#,##0.00;(#,##0.00)"/>
    <numFmt numFmtId="173" formatCode="+0.0%;-0.0%;0.0%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1F3A5F"/>
      <sz val="14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FF"/>
      <sz val="10"/>
    </font>
    <font>
      <name val="Arial"/>
      <color rgb="00007A33"/>
      <sz val="10"/>
    </font>
    <font>
      <name val="Arial"/>
      <b val="1"/>
      <color rgb="00007A33"/>
      <sz val="10"/>
    </font>
    <font>
      <name val="Arial"/>
      <i val="1"/>
      <color rgb="00595959"/>
      <sz val="10"/>
    </font>
    <font>
      <name val="Arial"/>
      <b val="1"/>
      <color rgb="001F3A5F"/>
      <sz val="16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7" fillId="4" borderId="0" pivotButton="0" quotePrefix="0" xfId="0"/>
    <xf numFmtId="1" fontId="5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1" fillId="3" borderId="0" pivotButton="0" quotePrefix="0" xfId="0"/>
    <xf numFmtId="0" fontId="0" fillId="3" borderId="0" pivotButton="0" quotePrefix="0" xfId="0"/>
    <xf numFmtId="164" fontId="8" fillId="0" borderId="0" pivotButton="0" quotePrefix="0" xfId="0"/>
    <xf numFmtId="164" fontId="3" fillId="0" borderId="0" pivotButton="0" quotePrefix="0" xfId="0"/>
    <xf numFmtId="165" fontId="8" fillId="0" borderId="0" pivotButton="0" quotePrefix="0" xfId="0"/>
    <xf numFmtId="165" fontId="3" fillId="0" borderId="0" pivotButton="0" quotePrefix="0" xfId="0"/>
    <xf numFmtId="166" fontId="8" fillId="0" borderId="0" pivotButton="0" quotePrefix="0" xfId="0"/>
    <xf numFmtId="166" fontId="3" fillId="0" borderId="0" pivotButton="0" quotePrefix="0" xfId="0"/>
    <xf numFmtId="17" fontId="6" fillId="4" borderId="0" pivotButton="0" quotePrefix="0" xfId="0"/>
    <xf numFmtId="166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1" fontId="6" fillId="4" borderId="0" pivotButton="0" quotePrefix="0" xfId="0"/>
    <xf numFmtId="1" fontId="3" fillId="0" borderId="0" pivotButton="0" quotePrefix="0" xfId="0"/>
    <xf numFmtId="168" fontId="6" fillId="4" borderId="0" pivotButton="0" quotePrefix="0" xfId="0"/>
    <xf numFmtId="168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1" fontId="4" fillId="2" borderId="0" applyAlignment="1" pivotButton="0" quotePrefix="0" xfId="0">
      <alignment horizontal="right"/>
    </xf>
    <xf numFmtId="17" fontId="4" fillId="2" borderId="0" applyAlignment="1" pivotButton="0" quotePrefix="0" xfId="0">
      <alignment horizontal="right"/>
    </xf>
    <xf numFmtId="17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1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1" fillId="0" borderId="1" pivotButton="0" quotePrefix="0" xfId="0"/>
    <xf numFmtId="164" fontId="1" fillId="0" borderId="1" pivotButton="0" quotePrefix="0" xfId="0"/>
    <xf numFmtId="166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8" fontId="1" fillId="0" borderId="0" pivotButton="0" quotePrefix="0" xfId="0"/>
    <xf numFmtId="166" fontId="9" fillId="0" borderId="1" pivotButton="0" quotePrefix="0" xfId="0"/>
    <xf numFmtId="168" fontId="5" fillId="0" borderId="0" pivotButton="0" quotePrefix="0" xfId="0"/>
    <xf numFmtId="171" fontId="1" fillId="0" borderId="0" pivotButton="0" quotePrefix="0" xfId="0"/>
    <xf numFmtId="169" fontId="1" fillId="0" borderId="0" pivotButton="0" quotePrefix="0" xfId="0"/>
    <xf numFmtId="166" fontId="9" fillId="0" borderId="0" pivotButton="0" quotePrefix="0" xfId="0"/>
    <xf numFmtId="169" fontId="5" fillId="0" borderId="0" pivotButton="0" quotePrefix="0" xfId="0"/>
    <xf numFmtId="172" fontId="6" fillId="4" borderId="0" pivotButton="0" quotePrefix="0" xfId="0"/>
    <xf numFmtId="172" fontId="5" fillId="0" borderId="0" pivotButton="0" quotePrefix="0" xfId="0"/>
    <xf numFmtId="172" fontId="1" fillId="0" borderId="0" pivotButton="0" quotePrefix="0" xfId="0"/>
    <xf numFmtId="3" fontId="6" fillId="4" borderId="0" pivotButton="0" quotePrefix="0" xfId="0"/>
    <xf numFmtId="0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6" fontId="10" fillId="0" borderId="0" pivotButton="0" quotePrefix="0" xfId="0"/>
    <xf numFmtId="165" fontId="10" fillId="0" borderId="0" pivotButton="0" quotePrefix="0" xfId="0"/>
    <xf numFmtId="171" fontId="8" fillId="0" borderId="0" pivotButton="0" quotePrefix="0" xfId="0"/>
    <xf numFmtId="171" fontId="10" fillId="0" borderId="0" pivotButton="0" quotePrefix="0" xfId="0"/>
    <xf numFmtId="171" fontId="5" fillId="0" borderId="0" pivotButton="0" quotePrefix="0" xfId="0"/>
    <xf numFmtId="169" fontId="8" fillId="0" borderId="0" pivotButton="0" quotePrefix="0" xfId="0"/>
    <xf numFmtId="169" fontId="10" fillId="0" borderId="0" pivotButton="0" quotePrefix="0" xfId="0"/>
    <xf numFmtId="9" fontId="4" fillId="2" borderId="0" applyAlignment="1" pivotButton="0" quotePrefix="0" xfId="0">
      <alignment horizontal="right"/>
    </xf>
    <xf numFmtId="173" fontId="7" fillId="0" borderId="0" applyAlignment="1" pivotButton="0" quotePrefix="0" xfId="0">
      <alignment horizontal="left"/>
    </xf>
    <xf numFmtId="166" fontId="10" fillId="4" borderId="0" pivotButton="0" quotePrefix="0" xfId="0"/>
    <xf numFmtId="169" fontId="7" fillId="4" borderId="0" applyAlignment="1" pivotButton="0" quotePrefix="0" xfId="0">
      <alignment horizontal="left"/>
    </xf>
    <xf numFmtId="164" fontId="5" fillId="4" borderId="0" pivotButton="0" quotePrefix="0" xfId="0"/>
    <xf numFmtId="171" fontId="6" fillId="4" borderId="0" pivotButton="0" quotePrefix="0" xfId="0"/>
    <xf numFmtId="0" fontId="5" fillId="0" borderId="1" pivotButton="0" quotePrefix="0" xfId="0"/>
    <xf numFmtId="166" fontId="5" fillId="0" borderId="1" pivotButton="0" quotePrefix="0" xfId="0"/>
    <xf numFmtId="169" fontId="6" fillId="4" borderId="0" pivotButton="0" quotePrefix="0" xfId="0"/>
    <xf numFmtId="1" fontId="8" fillId="0" borderId="0" pivotButton="0" quotePrefix="0" xfId="0"/>
    <xf numFmtId="17" fontId="8" fillId="0" borderId="0" pivotButton="0" quotePrefix="0" xfId="0"/>
    <xf numFmtId="168" fontId="8" fillId="0" borderId="0" pivotButton="0" quotePrefix="0" xfId="0"/>
    <xf numFmtId="170" fontId="8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Football field: Vaultline enterprise value (GBP m)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'MA_Valuation'!C43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'MA_Valuation'!$A$44:$A$48</f>
            </numRef>
          </cat>
          <val>
            <numRef>
              <f>'MA_Valuation'!$C$44:$C$48</f>
            </numRef>
          </val>
        </ser>
        <ser>
          <idx val="1"/>
          <order val="1"/>
          <tx>
            <strRef>
              <f>'MA_Valuation'!F43</f>
            </strRef>
          </tx>
          <spPr>
            <a:ln xmlns:a="http://schemas.openxmlformats.org/drawingml/2006/main">
              <a:prstDash val="solid"/>
            </a:ln>
          </spPr>
          <cat>
            <numRef>
              <f>'MA_Valuation'!$A$44:$A$48</f>
            </numRef>
          </cat>
          <val>
            <numRef>
              <f>'MA_Valuation'!$F$44:$F$48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20" customWidth="1" min="3" max="3"/>
  </cols>
  <sheetData>
    <row r="1">
      <c r="A1" s="1" t="inlineStr">
        <is>
          <t>Keel - SaaS operating model for Northgate Controls Ltd</t>
        </is>
      </c>
    </row>
    <row r="2">
      <c r="A2" s="2" t="inlineStr">
        <is>
          <t>Synthetic data. A formula-driven FP&amp;A model: ARR build, revenue recognition, three statements, SaaS unit economics.</t>
        </is>
      </c>
    </row>
    <row r="4">
      <c r="A4" s="3" t="inlineStr">
        <is>
          <t>Master check</t>
        </is>
      </c>
      <c r="B4" s="4">
        <f>Checks!E46</f>
        <v/>
      </c>
    </row>
    <row r="5">
      <c r="A5" s="3" t="inlineStr">
        <is>
          <t>Live scenario</t>
        </is>
      </c>
      <c r="B5" s="5">
        <f>inp_scenario</f>
        <v/>
      </c>
    </row>
    <row r="6">
      <c r="A6" s="3" t="inlineStr">
        <is>
          <t>Units</t>
        </is>
      </c>
      <c r="B6" s="5" t="inlineStr">
        <is>
          <t>GBP thousands unless stated. 24 monthly periods from the model start date, FY1 and FY2 annual columns.</t>
        </is>
      </c>
    </row>
    <row r="7">
      <c r="A7" s="3" t="inlineStr">
        <is>
          <t>Outlier warnings</t>
        </is>
      </c>
      <c r="B7" s="5">
        <f>chk_warnings&amp;" series flagged for review (see Checks)"</f>
        <v/>
      </c>
    </row>
    <row r="8">
      <c r="A8" s="3" t="inlineStr">
        <is>
          <t>Colour convention</t>
        </is>
      </c>
      <c r="B8" s="6" t="inlineStr">
        <is>
          <t>Blue = typed input</t>
        </is>
      </c>
    </row>
    <row r="9">
      <c r="B9" s="5" t="inlineStr">
        <is>
          <t>Black = formula</t>
        </is>
      </c>
    </row>
    <row r="10">
      <c r="B10" s="7" t="inlineStr">
        <is>
          <t>Green = link to another tab</t>
        </is>
      </c>
    </row>
    <row r="12">
      <c r="A12" s="3" t="inlineStr">
        <is>
          <t>Model map</t>
        </is>
      </c>
    </row>
    <row r="13">
      <c r="A13" s="5" t="inlineStr">
        <is>
          <t>Inputs_Drivers</t>
        </is>
      </c>
      <c r="B13" s="5" t="inlineStr">
        <is>
          <t>Named inputs (inp_*). Scenario selector. Live scenario values</t>
        </is>
      </c>
      <c r="C13" s="2" t="inlineStr">
        <is>
          <t>Phase 1</t>
        </is>
      </c>
    </row>
    <row r="14">
      <c r="A14" s="5" t="inlineStr">
        <is>
          <t>Inputs_Scenarios</t>
        </is>
      </c>
      <c r="B14" s="5" t="inlineStr">
        <is>
          <t>Base / Upside / Downside / Custom values</t>
        </is>
      </c>
      <c r="C14" s="2" t="inlineStr">
        <is>
          <t>Phase 1</t>
        </is>
      </c>
    </row>
    <row r="15">
      <c r="A15" s="5" t="inlineStr">
        <is>
          <t>Rev_Build</t>
        </is>
      </c>
      <c r="B15" s="5" t="inlineStr">
        <is>
          <t>ARR waterfall and customers by segment</t>
        </is>
      </c>
      <c r="C15" s="2" t="inlineStr">
        <is>
          <t>Phase 1</t>
        </is>
      </c>
    </row>
    <row r="16">
      <c r="A16" s="5" t="inlineStr">
        <is>
          <t>Rev_Rec</t>
        </is>
      </c>
      <c r="B16" s="5" t="inlineStr">
        <is>
          <t>Billings, ratable revenue, deferred revenue, receivables</t>
        </is>
      </c>
      <c r="C16" s="2" t="inlineStr">
        <is>
          <t>Phase 1</t>
        </is>
      </c>
    </row>
    <row r="17">
      <c r="A17" s="5" t="inlineStr">
        <is>
          <t>Headcount_Opex</t>
        </is>
      </c>
      <c r="B17" s="5" t="inlineStr">
        <is>
          <t>Headcount, payroll, opex by function</t>
        </is>
      </c>
      <c r="C17" s="2" t="inlineStr">
        <is>
          <t>Phase 1</t>
        </is>
      </c>
    </row>
    <row r="18">
      <c r="A18" s="5" t="inlineStr">
        <is>
          <t>COGS</t>
        </is>
      </c>
      <c r="B18" s="5" t="inlineStr">
        <is>
          <t>Hosting, licences, support; gross margin by stream</t>
        </is>
      </c>
      <c r="C18" s="2" t="inlineStr">
        <is>
          <t>Phase 1</t>
        </is>
      </c>
    </row>
    <row r="19">
      <c r="A19" s="5" t="inlineStr">
        <is>
          <t>IS / BS / CF</t>
        </is>
      </c>
      <c r="B19" s="5" t="inlineStr">
        <is>
          <t>Integrated three statements (balance check on BS)</t>
        </is>
      </c>
      <c r="C19" s="2" t="inlineStr">
        <is>
          <t>Phase 1</t>
        </is>
      </c>
    </row>
    <row r="20">
      <c r="A20" s="5" t="inlineStr">
        <is>
          <t>SaaS_Metrics</t>
        </is>
      </c>
      <c r="B20" s="5" t="inlineStr">
        <is>
          <t>ARR bridge, NRR, GRR, CAC, payback, LTV/CAC, burn multiple, runway, Rule of 40</t>
        </is>
      </c>
      <c r="C20" s="2" t="inlineStr">
        <is>
          <t>Phase 1</t>
        </is>
      </c>
    </row>
    <row r="21">
      <c r="A21" s="5" t="inlineStr">
        <is>
          <t>Checks</t>
        </is>
      </c>
      <c r="B21" s="5" t="inlineStr">
        <is>
          <t>Integrity tests and master flag</t>
        </is>
      </c>
      <c r="C21" s="2" t="inlineStr">
        <is>
          <t>Phase 1</t>
        </is>
      </c>
    </row>
    <row r="22">
      <c r="A22" s="5" t="inlineStr">
        <is>
          <t>Contract_Costs</t>
        </is>
      </c>
      <c r="B22" s="5" t="inlineStr">
        <is>
          <t>Capitalised sales commission (IFRS 15), amortisation, S&amp;M charge</t>
        </is>
      </c>
      <c r="C22" s="2" t="inlineStr">
        <is>
          <t>Phase 2</t>
        </is>
      </c>
    </row>
    <row r="23">
      <c r="A23" s="5" t="inlineStr">
        <is>
          <t>Inputs_Budget, Budget_vs_Forecast</t>
        </is>
      </c>
      <c r="B23" s="5" t="inlineStr">
        <is>
          <t>Board budget as received; mapped variances and three bridges (ARR, revenue, EBITDA)</t>
        </is>
      </c>
      <c r="C23" s="2" t="inlineStr">
        <is>
          <t>Phase 2</t>
        </is>
      </c>
    </row>
    <row r="24">
      <c r="A24" s="5" t="inlineStr">
        <is>
          <t>LT_Model</t>
        </is>
      </c>
      <c r="B24" s="5" t="inlineStr">
        <is>
          <t>Five-year view: years 1-2 linked, years 3-5 driver-based</t>
        </is>
      </c>
      <c r="C24" s="2" t="inlineStr">
        <is>
          <t>Phase 2</t>
        </is>
      </c>
    </row>
    <row r="25">
      <c r="A25" s="5" t="inlineStr">
        <is>
          <t>Lever_Analysis, Sensitivity</t>
        </is>
      </c>
      <c r="B25" s="5" t="inlineStr">
        <is>
          <t>Impact of each driver; two-way grids (static, engine-run, staleness-checked)</t>
        </is>
      </c>
      <c r="C25" s="2" t="inlineStr">
        <is>
          <t>Phase 2</t>
        </is>
      </c>
    </row>
    <row r="26">
      <c r="A26" s="5" t="inlineStr">
        <is>
          <t>Outputs_Web</t>
        </is>
      </c>
      <c r="B26" s="5" t="inlineStr">
        <is>
          <t>The only tab the website reads: scalar outputs, monthly series, five-year view, bridges, football field, PPA, checks and the input registry (all named out_*)</t>
        </is>
      </c>
      <c r="C26" s="2" t="inlineStr">
        <is>
          <t>Phase 5</t>
        </is>
      </c>
    </row>
    <row r="27">
      <c r="A27" s="5" t="inlineStr">
        <is>
          <t>Business_Review</t>
        </is>
      </c>
      <c r="B27" s="5" t="inlineStr">
        <is>
          <t>One-page pack: KPIs, what moved vs budget, risks, downside alongside Base</t>
        </is>
      </c>
      <c r="C27" s="2" t="inlineStr">
        <is>
          <t>Phase 2</t>
        </is>
      </c>
    </row>
    <row r="28">
      <c r="A28" s="5" t="inlineStr">
        <is>
          <t>MA_Target, MA_PPA, MA_ProForma</t>
        </is>
      </c>
      <c r="B28" s="5" t="inlineStr">
        <is>
          <t>Vaultline standalone; IFRS 3 purchase price allocation; combined entity with eliminations, synergies, integration</t>
        </is>
      </c>
      <c r="C28" s="2" t="inlineStr">
        <is>
          <t>Phase 3</t>
        </is>
      </c>
    </row>
    <row r="29">
      <c r="A29" s="5" t="inlineStr">
        <is>
          <t>MA_Valuation, Inputs_Comps, MA_Returns</t>
        </is>
      </c>
      <c r="B29" s="5" t="inlineStr">
        <is>
          <t>DCF, comps, offer range, football field; value creation, payback, accretion, runway impact</t>
        </is>
      </c>
      <c r="C29" s="2" t="inlineStr">
        <is>
          <t>Phase 3</t>
        </is>
      </c>
    </row>
    <row r="30">
      <c r="A30" s="5" t="inlineStr">
        <is>
          <t>MA_Target, MA_Valuation, MA_PPA, MA_ProForma, MA_Returns</t>
        </is>
      </c>
      <c r="B30" s="5" t="inlineStr">
        <is>
          <t>Vaultline acquisition module</t>
        </is>
      </c>
      <c r="C30" s="2" t="inlineStr">
        <is>
          <t>Phase 3 (not built)</t>
        </is>
      </c>
    </row>
    <row r="32">
      <c r="A32" s="3" t="inlineStr">
        <is>
          <t>Version log</t>
        </is>
      </c>
    </row>
    <row r="33">
      <c r="A33" s="5" t="inlineStr">
        <is>
          <t>v0.1</t>
        </is>
      </c>
      <c r="B33" s="5" t="inlineStr">
        <is>
          <t>Phase 1 MVP: ARR build, rev rec, opex, COGS, three statements, SaaS metrics, scenarios (Base/Upside/Downside/Custom), checks.</t>
        </is>
      </c>
    </row>
    <row r="34">
      <c r="A34" s="5" t="inlineStr">
        <is>
          <t>v0.2</t>
        </is>
      </c>
      <c r="B34" s="5" t="inlineStr">
        <is>
          <t>Phase 2: Contract_Costs, budget and variance bridges, LT_Model, Lever_Analysis, Sensitivity, Business_Review. Fixed FY opening-balance columns.</t>
        </is>
      </c>
    </row>
    <row r="35">
      <c r="A35" s="5" t="inlineStr">
        <is>
          <t>v0.3</t>
        </is>
      </c>
      <c r="B35" s="5" t="inlineStr">
        <is>
          <t>Phase 3: Vaultline acquisition module (MA_* tabs, Inputs_Comps), acquisition scenario drivers, deal outcome in the scenario snapshots.</t>
        </is>
      </c>
    </row>
    <row r="36">
      <c r="A36" s="5" t="inlineStr">
        <is>
          <t>v0.4</t>
        </is>
      </c>
      <c r="B36" s="5" t="inlineStr">
        <is>
          <t>Phase 4: global tolerance, sign / annual-column / range checks, outlier warnings (validation lives in validation/).</t>
        </is>
      </c>
    </row>
    <row r="37">
      <c r="A37" s="5" t="inlineStr">
        <is>
          <t>v0.5</t>
        </is>
      </c>
      <c r="B37" s="5" t="inlineStr">
        <is>
          <t>Phase 5: Outputs_Web contract (named out_* ranges, input registry), array formulas replaced by helper rows, named_ranges.json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12" customWidth="1" min="4" max="4"/>
    <col width="12" customWidth="1" min="5" max="5"/>
    <col width="80" customWidth="1" min="6" max="6"/>
    <col width="16" customWidth="1" min="7" max="7"/>
  </cols>
  <sheetData>
    <row r="1">
      <c r="A1" s="8" t="inlineStr">
        <is>
          <t>Inputs_Drivers - every named input the model (and later the website) reads</t>
        </is>
      </c>
    </row>
    <row r="2">
      <c r="A2" s="2" t="inlineStr">
        <is>
          <t>Blue = typed input. Green = live value pulled from Inputs_Scenarios for the selected scenario.</t>
        </is>
      </c>
    </row>
    <row r="4">
      <c r="A4" s="3" t="inlineStr">
        <is>
          <t>Scenario selector</t>
        </is>
      </c>
      <c r="C4" s="9" t="inlineStr">
        <is>
          <t>Base</t>
        </is>
      </c>
      <c r="F4" s="2" t="inlineStr">
        <is>
          <t>Pick Base, Upside, Downside or Custom.</t>
        </is>
      </c>
    </row>
    <row r="5">
      <c r="A5" s="5" t="inlineStr">
        <is>
          <t>Scenario index</t>
        </is>
      </c>
      <c r="C5" s="10">
        <f>MATCH(inp_scenario,Inputs_Scenarios!$C$4:$F$4,0)</f>
        <v/>
      </c>
      <c r="F5" s="2" t="inlineStr">
        <is>
          <t>Position of the selected scenario in Inputs_Scenarios (1-4).</t>
        </is>
      </c>
    </row>
    <row r="7">
      <c r="A7" s="11" t="inlineStr">
        <is>
          <t>Driver</t>
        </is>
      </c>
      <c r="B7" s="11" t="inlineStr">
        <is>
          <t>Unit</t>
        </is>
      </c>
      <c r="C7" s="12" t="inlineStr">
        <is>
          <t>Value</t>
        </is>
      </c>
      <c r="D7" s="12" t="inlineStr">
        <is>
          <t>Min</t>
        </is>
      </c>
      <c r="E7" s="12" t="inlineStr">
        <is>
          <t>Max</t>
        </is>
      </c>
      <c r="F7" s="11" t="inlineStr">
        <is>
          <t>What it drives</t>
        </is>
      </c>
      <c r="G7" s="12" t="inlineStr">
        <is>
          <t>Out of range</t>
        </is>
      </c>
    </row>
    <row r="8">
      <c r="A8" s="13" t="inlineStr">
        <is>
          <t>Growth</t>
        </is>
      </c>
      <c r="B8" s="14" t="n"/>
      <c r="C8" s="14" t="n"/>
      <c r="D8" s="14" t="n"/>
      <c r="E8" s="14" t="n"/>
      <c r="F8" s="14" t="n"/>
    </row>
    <row r="9">
      <c r="A9" s="5" t="inlineStr">
        <is>
          <t>New Enterprise logos per month</t>
        </is>
      </c>
      <c r="B9" s="2" t="inlineStr">
        <is>
          <t>#/mo</t>
        </is>
      </c>
      <c r="C9" s="15">
        <f>INDEX(Inputs_Scenarios!$C6:$F6,1,inp_scen_idx)</f>
        <v/>
      </c>
      <c r="D9" s="16" t="n">
        <v>0</v>
      </c>
      <c r="E9" s="16" t="n">
        <v>15</v>
      </c>
      <c r="F9" s="5" t="inlineStr">
        <is>
          <t>New-logo ARR = logos x ACV. Biggest driver of ARR growth.</t>
        </is>
      </c>
      <c r="G9" s="10">
        <f>IF(OR(C9&lt;D9,C9&gt;E9),1,0)</f>
        <v/>
      </c>
    </row>
    <row r="10">
      <c r="A10" s="5" t="inlineStr">
        <is>
          <t>New Mid-market logos per month</t>
        </is>
      </c>
      <c r="B10" s="2" t="inlineStr">
        <is>
          <t>#/mo</t>
        </is>
      </c>
      <c r="C10" s="15">
        <f>INDEX(Inputs_Scenarios!$C7:$F7,1,inp_scen_idx)</f>
        <v/>
      </c>
      <c r="D10" s="16" t="n">
        <v>0</v>
      </c>
      <c r="E10" s="16" t="n">
        <v>60</v>
      </c>
      <c r="F10" s="5" t="inlineStr">
        <is>
          <t>Volume engine for the Mid-market segment.</t>
        </is>
      </c>
      <c r="G10" s="10">
        <f>IF(OR(C10&lt;D10,C10&gt;E10),1,0)</f>
        <v/>
      </c>
    </row>
    <row r="11">
      <c r="A11" s="5" t="inlineStr">
        <is>
          <t>Annual growth in new-logo volume</t>
        </is>
      </c>
      <c r="B11" s="2" t="inlineStr">
        <is>
          <t>% p.a.</t>
        </is>
      </c>
      <c r="C11" s="17">
        <f>INDEX(Inputs_Scenarios!$C8:$F8,1,inp_scen_idx)</f>
        <v/>
      </c>
      <c r="D11" s="18" t="n">
        <v>-0.2</v>
      </c>
      <c r="E11" s="18" t="n">
        <v>0.5</v>
      </c>
      <c r="F11" s="5" t="inlineStr">
        <is>
          <t>Compounds monthly. Sales capacity proxy in the MVP.</t>
        </is>
      </c>
      <c r="G11" s="10">
        <f>IF(OR(C11&lt;D11,C11&gt;E11),1,0)</f>
        <v/>
      </c>
    </row>
    <row r="12">
      <c r="A12" s="13" t="inlineStr">
        <is>
          <t>Pricing</t>
        </is>
      </c>
      <c r="B12" s="14" t="n"/>
      <c r="C12" s="14" t="n"/>
      <c r="D12" s="14" t="n"/>
      <c r="E12" s="14" t="n"/>
      <c r="F12" s="14" t="n"/>
    </row>
    <row r="13">
      <c r="A13" s="5" t="inlineStr">
        <is>
          <t>Enterprise ACV (new logos)</t>
        </is>
      </c>
      <c r="B13" s="2" t="inlineStr">
        <is>
          <t>GBP k</t>
        </is>
      </c>
      <c r="C13" s="15">
        <f>INDEX(Inputs_Scenarios!$C10:$F10,1,inp_scen_idx)</f>
        <v/>
      </c>
      <c r="D13" s="16" t="n">
        <v>50</v>
      </c>
      <c r="E13" s="16" t="n">
        <v>1000</v>
      </c>
      <c r="F13" s="5" t="inlineStr">
        <is>
          <t>Average annual contract value of a new Enterprise logo.</t>
        </is>
      </c>
      <c r="G13" s="10">
        <f>IF(OR(C13&lt;D13,C13&gt;E13),1,0)</f>
        <v/>
      </c>
    </row>
    <row r="14">
      <c r="A14" s="5" t="inlineStr">
        <is>
          <t>Mid-market ACV (new logos)</t>
        </is>
      </c>
      <c r="B14" s="2" t="inlineStr">
        <is>
          <t>GBP k</t>
        </is>
      </c>
      <c r="C14" s="15">
        <f>INDEX(Inputs_Scenarios!$C11:$F11,1,inp_scen_idx)</f>
        <v/>
      </c>
      <c r="D14" s="16" t="n">
        <v>5</v>
      </c>
      <c r="E14" s="16" t="n">
        <v>100</v>
      </c>
      <c r="F14" s="5" t="inlineStr">
        <is>
          <t>Average annual contract value of a new Mid-market logo.</t>
        </is>
      </c>
      <c r="G14" s="10">
        <f>IF(OR(C14&lt;D14,C14&gt;E14),1,0)</f>
        <v/>
      </c>
    </row>
    <row r="15">
      <c r="A15" s="5" t="inlineStr">
        <is>
          <t>Annual price uplift on new-logo ACV</t>
        </is>
      </c>
      <c r="B15" s="2" t="inlineStr">
        <is>
          <t>% p.a.</t>
        </is>
      </c>
      <c r="C15" s="17">
        <f>INDEX(Inputs_Scenarios!$C12:$F12,1,inp_scen_idx)</f>
        <v/>
      </c>
      <c r="D15" s="18" t="n">
        <v>0</v>
      </c>
      <c r="E15" s="18" t="n">
        <v>0.15</v>
      </c>
      <c r="F15" s="5" t="inlineStr">
        <is>
          <t>Applied from month 13, 25, ... to new-logo ACV.</t>
        </is>
      </c>
      <c r="G15" s="10">
        <f>IF(OR(C15&lt;D15,C15&gt;E15),1,0)</f>
        <v/>
      </c>
    </row>
    <row r="16">
      <c r="A16" s="13" t="inlineStr">
        <is>
          <t>Retention</t>
        </is>
      </c>
      <c r="B16" s="14" t="n"/>
      <c r="C16" s="14" t="n"/>
      <c r="D16" s="14" t="n"/>
      <c r="E16" s="14" t="n"/>
      <c r="F16" s="14" t="n"/>
    </row>
    <row r="17">
      <c r="A17" s="5" t="inlineStr">
        <is>
          <t>Enterprise annual expansion</t>
        </is>
      </c>
      <c r="B17" s="2" t="inlineStr">
        <is>
          <t>% of ARR</t>
        </is>
      </c>
      <c r="C17" s="17">
        <f>INDEX(Inputs_Scenarios!$C14:$F14,1,inp_scen_idx)</f>
        <v/>
      </c>
      <c r="D17" s="18" t="n">
        <v>0</v>
      </c>
      <c r="E17" s="18" t="n">
        <v>0.5</v>
      </c>
      <c r="F17" s="5" t="inlineStr">
        <is>
          <t>Upsell / cross-sell on the existing Enterprise base.</t>
        </is>
      </c>
      <c r="G17" s="10">
        <f>IF(OR(C17&lt;D17,C17&gt;E17),1,0)</f>
        <v/>
      </c>
    </row>
    <row r="18">
      <c r="A18" s="5" t="inlineStr">
        <is>
          <t>Mid-market annual expansion</t>
        </is>
      </c>
      <c r="B18" s="2" t="inlineStr">
        <is>
          <t>% of ARR</t>
        </is>
      </c>
      <c r="C18" s="17">
        <f>INDEX(Inputs_Scenarios!$C15:$F15,1,inp_scen_idx)</f>
        <v/>
      </c>
      <c r="D18" s="18" t="n">
        <v>0</v>
      </c>
      <c r="E18" s="18" t="n">
        <v>0.5</v>
      </c>
      <c r="F18" s="5" t="inlineStr">
        <is>
          <t>Upsell on the existing Mid-market base.</t>
        </is>
      </c>
      <c r="G18" s="10">
        <f>IF(OR(C18&lt;D18,C18&gt;E18),1,0)</f>
        <v/>
      </c>
    </row>
    <row r="19">
      <c r="A19" s="5" t="inlineStr">
        <is>
          <t>Enterprise annual gross churn</t>
        </is>
      </c>
      <c r="B19" s="2" t="inlineStr">
        <is>
          <t>% of ARR</t>
        </is>
      </c>
      <c r="C19" s="17">
        <f>INDEX(Inputs_Scenarios!$C16:$F16,1,inp_scen_idx)</f>
        <v/>
      </c>
      <c r="D19" s="18" t="n">
        <v>0</v>
      </c>
      <c r="E19" s="18" t="n">
        <v>0.5</v>
      </c>
      <c r="F19" s="5" t="inlineStr">
        <is>
          <t>Lost ARR (incl. contraction) from existing Enterprise customers.</t>
        </is>
      </c>
      <c r="G19" s="10">
        <f>IF(OR(C19&lt;D19,C19&gt;E19),1,0)</f>
        <v/>
      </c>
    </row>
    <row r="20">
      <c r="A20" s="5" t="inlineStr">
        <is>
          <t>Mid-market annual gross churn</t>
        </is>
      </c>
      <c r="B20" s="2" t="inlineStr">
        <is>
          <t>% of ARR</t>
        </is>
      </c>
      <c r="C20" s="17">
        <f>INDEX(Inputs_Scenarios!$C17:$F17,1,inp_scen_idx)</f>
        <v/>
      </c>
      <c r="D20" s="18" t="n">
        <v>0</v>
      </c>
      <c r="E20" s="18" t="n">
        <v>0.5</v>
      </c>
      <c r="F20" s="5" t="inlineStr">
        <is>
          <t>Lost ARR (incl. contraction) from existing Mid-market customers.</t>
        </is>
      </c>
      <c r="G20" s="10">
        <f>IF(OR(C20&lt;D20,C20&gt;E20),1,0)</f>
        <v/>
      </c>
    </row>
    <row r="21">
      <c r="A21" s="13" t="inlineStr">
        <is>
          <t>People (hiring plan)</t>
        </is>
      </c>
      <c r="B21" s="14" t="n"/>
      <c r="C21" s="14" t="n"/>
      <c r="D21" s="14" t="n"/>
      <c r="E21" s="14" t="n"/>
      <c r="F21" s="14" t="n"/>
    </row>
    <row r="22">
      <c r="A22" s="5" t="inlineStr">
        <is>
          <t>R&amp;D net hires per month</t>
        </is>
      </c>
      <c r="B22" s="2" t="inlineStr">
        <is>
          <t>FTE/mo</t>
        </is>
      </c>
      <c r="C22" s="15">
        <f>INDEX(Inputs_Scenarios!$C19:$F19,1,inp_scen_idx)</f>
        <v/>
      </c>
      <c r="D22" s="16" t="n">
        <v>0</v>
      </c>
      <c r="E22" s="16" t="n">
        <v>10</v>
      </c>
      <c r="F22" s="5" t="inlineStr">
        <is>
          <t>Drives R&amp;D payroll.</t>
        </is>
      </c>
      <c r="G22" s="10">
        <f>IF(OR(C22&lt;D22,C22&gt;E22),1,0)</f>
        <v/>
      </c>
    </row>
    <row r="23">
      <c r="A23" s="5" t="inlineStr">
        <is>
          <t>Sales &amp; Marketing net hires per month</t>
        </is>
      </c>
      <c r="B23" s="2" t="inlineStr">
        <is>
          <t>FTE/mo</t>
        </is>
      </c>
      <c r="C23" s="15">
        <f>INDEX(Inputs_Scenarios!$C20:$F20,1,inp_scen_idx)</f>
        <v/>
      </c>
      <c r="D23" s="16" t="n">
        <v>0</v>
      </c>
      <c r="E23" s="16" t="n">
        <v>10</v>
      </c>
      <c r="F23" s="5" t="inlineStr">
        <is>
          <t>Drives S&amp;M payroll and CAC.</t>
        </is>
      </c>
      <c r="G23" s="10">
        <f>IF(OR(C23&lt;D23,C23&gt;E23),1,0)</f>
        <v/>
      </c>
    </row>
    <row r="24">
      <c r="A24" s="5" t="inlineStr">
        <is>
          <t>G&amp;A net hires per month</t>
        </is>
      </c>
      <c r="B24" s="2" t="inlineStr">
        <is>
          <t>FTE/mo</t>
        </is>
      </c>
      <c r="C24" s="15">
        <f>INDEX(Inputs_Scenarios!$C21:$F21,1,inp_scen_idx)</f>
        <v/>
      </c>
      <c r="D24" s="16" t="n">
        <v>0</v>
      </c>
      <c r="E24" s="16" t="n">
        <v>5</v>
      </c>
      <c r="F24" s="5" t="inlineStr">
        <is>
          <t>Drives G&amp;A payroll.</t>
        </is>
      </c>
      <c r="G24" s="10">
        <f>IF(OR(C24&lt;D24,C24&gt;E24),1,0)</f>
        <v/>
      </c>
    </row>
    <row r="25">
      <c r="A25" s="5" t="inlineStr">
        <is>
          <t>Customer Success net hires per month</t>
        </is>
      </c>
      <c r="B25" s="2" t="inlineStr">
        <is>
          <t>FTE/mo</t>
        </is>
      </c>
      <c r="C25" s="15">
        <f>INDEX(Inputs_Scenarios!$C22:$F22,1,inp_scen_idx)</f>
        <v/>
      </c>
      <c r="D25" s="16" t="n">
        <v>0</v>
      </c>
      <c r="E25" s="16" t="n">
        <v>5</v>
      </c>
      <c r="F25" s="5" t="inlineStr">
        <is>
          <t>Drives support payroll in COGS.</t>
        </is>
      </c>
      <c r="G25" s="10">
        <f>IF(OR(C25&lt;D25,C25&gt;E25),1,0)</f>
        <v/>
      </c>
    </row>
    <row r="26">
      <c r="A26" s="13" t="inlineStr">
        <is>
          <t>Cash</t>
        </is>
      </c>
      <c r="B26" s="14" t="n"/>
      <c r="C26" s="14" t="n"/>
      <c r="D26" s="14" t="n"/>
      <c r="E26" s="14" t="n"/>
      <c r="F26" s="14" t="n"/>
    </row>
    <row r="27">
      <c r="A27" s="5" t="inlineStr">
        <is>
          <t>Customer payment terms (DSO)</t>
        </is>
      </c>
      <c r="B27" s="2" t="inlineStr">
        <is>
          <t>days</t>
        </is>
      </c>
      <c r="C27" s="19">
        <f>INDEX(Inputs_Scenarios!$C24:$F24,1,inp_scen_idx)</f>
        <v/>
      </c>
      <c r="D27" s="20" t="n">
        <v>0</v>
      </c>
      <c r="E27" s="20" t="n">
        <v>90</v>
      </c>
      <c r="F27" s="5" t="inlineStr">
        <is>
          <t>Days to collect an invoice. Drives receivables and cash timing.</t>
        </is>
      </c>
      <c r="G27" s="10">
        <f>IF(OR(C27&lt;D27,C27&gt;E27),1,0)</f>
        <v/>
      </c>
    </row>
    <row r="28">
      <c r="A28" s="13" t="inlineStr">
        <is>
          <t>Timing and opening position (31 Dec before model start)</t>
        </is>
      </c>
      <c r="B28" s="14" t="n"/>
      <c r="C28" s="14" t="n"/>
      <c r="D28" s="14" t="n"/>
      <c r="E28" s="14" t="n"/>
      <c r="F28" s="14" t="n"/>
    </row>
    <row r="29">
      <c r="A29" s="5" t="inlineStr">
        <is>
          <t>Model start date (first forecast month)</t>
        </is>
      </c>
      <c r="B29" s="2" t="inlineStr">
        <is>
          <t>date</t>
        </is>
      </c>
      <c r="C29" s="21" t="n">
        <v>46388</v>
      </c>
      <c r="F29" s="5" t="inlineStr">
        <is>
          <t>Month 1 of the 24-month forecast.</t>
        </is>
      </c>
    </row>
    <row r="30">
      <c r="A30" s="5" t="inlineStr">
        <is>
          <t>Opening ARR - Enterprise</t>
        </is>
      </c>
      <c r="B30" s="2" t="inlineStr">
        <is>
          <t>GBP k</t>
        </is>
      </c>
      <c r="C30" s="22" t="n">
        <v>26000</v>
      </c>
      <c r="D30" s="20" t="n">
        <v>0</v>
      </c>
      <c r="E30" s="20" t="n">
        <v>200000</v>
      </c>
      <c r="F30" s="5" t="inlineStr">
        <is>
          <t>Contracted ARR at the opening date.</t>
        </is>
      </c>
      <c r="G30" s="10">
        <f>IF(OR(C30&lt;D30,C30&gt;E30),1,0)</f>
        <v/>
      </c>
    </row>
    <row r="31">
      <c r="A31" s="5" t="inlineStr">
        <is>
          <t>Opening ARR - Mid-market</t>
        </is>
      </c>
      <c r="B31" s="2" t="inlineStr">
        <is>
          <t>GBP k</t>
        </is>
      </c>
      <c r="C31" s="22" t="n">
        <v>14000</v>
      </c>
      <c r="D31" s="20" t="n">
        <v>0</v>
      </c>
      <c r="E31" s="20" t="n">
        <v>200000</v>
      </c>
      <c r="F31" s="5" t="inlineStr">
        <is>
          <t>Contracted ARR at the opening date.</t>
        </is>
      </c>
      <c r="G31" s="10">
        <f>IF(OR(C31&lt;D31,C31&gt;E31),1,0)</f>
        <v/>
      </c>
    </row>
    <row r="32">
      <c r="A32" s="5" t="inlineStr">
        <is>
          <t>Opening customers - Enterprise</t>
        </is>
      </c>
      <c r="B32" s="2" t="inlineStr">
        <is>
          <t>#</t>
        </is>
      </c>
      <c r="C32" s="22" t="n">
        <v>130</v>
      </c>
      <c r="D32" s="20" t="n">
        <v>0</v>
      </c>
      <c r="E32" s="20" t="n">
        <v>5000</v>
      </c>
      <c r="F32" s="5" t="inlineStr">
        <is>
          <t>Logo count at the opening date.</t>
        </is>
      </c>
      <c r="G32" s="10">
        <f>IF(OR(C32&lt;D32,C32&gt;E32),1,0)</f>
        <v/>
      </c>
    </row>
    <row r="33">
      <c r="A33" s="5" t="inlineStr">
        <is>
          <t>Opening customers - Mid-market</t>
        </is>
      </c>
      <c r="B33" s="2" t="inlineStr">
        <is>
          <t>#</t>
        </is>
      </c>
      <c r="C33" s="22" t="n">
        <v>560</v>
      </c>
      <c r="D33" s="20" t="n">
        <v>0</v>
      </c>
      <c r="E33" s="20" t="n">
        <v>20000</v>
      </c>
      <c r="F33" s="5" t="inlineStr">
        <is>
          <t>Logo count at the opening date.</t>
        </is>
      </c>
      <c r="G33" s="10">
        <f>IF(OR(C33&lt;D33,C33&gt;E33),1,0)</f>
        <v/>
      </c>
    </row>
    <row r="34">
      <c r="A34" s="5" t="inlineStr">
        <is>
          <t>Opening cash</t>
        </is>
      </c>
      <c r="B34" s="2" t="inlineStr">
        <is>
          <t>GBP k</t>
        </is>
      </c>
      <c r="C34" s="22" t="n">
        <v>24000</v>
      </c>
      <c r="D34" s="20" t="n">
        <v>0</v>
      </c>
      <c r="E34" s="20" t="n">
        <v>500000</v>
      </c>
      <c r="F34" s="5" t="inlineStr">
        <is>
          <t>Cash at the opening date.</t>
        </is>
      </c>
      <c r="G34" s="10">
        <f>IF(OR(C34&lt;D34,C34&gt;E34),1,0)</f>
        <v/>
      </c>
    </row>
    <row r="35">
      <c r="A35" s="5" t="inlineStr">
        <is>
          <t>Opening trade receivables</t>
        </is>
      </c>
      <c r="B35" s="2" t="inlineStr">
        <is>
          <t>GBP k</t>
        </is>
      </c>
      <c r="C35" s="22" t="n">
        <v>5500</v>
      </c>
      <c r="D35" s="20" t="n">
        <v>0</v>
      </c>
      <c r="E35" s="20" t="n">
        <v>100000</v>
      </c>
      <c r="F35" s="5" t="inlineStr">
        <is>
          <t>About 1.5 months of billings.</t>
        </is>
      </c>
      <c r="G35" s="10">
        <f>IF(OR(C35&lt;D35,C35&gt;E35),1,0)</f>
        <v/>
      </c>
    </row>
    <row r="36">
      <c r="A36" s="5" t="inlineStr">
        <is>
          <t>Opening PP&amp;E (net)</t>
        </is>
      </c>
      <c r="B36" s="2" t="inlineStr">
        <is>
          <t>GBP k</t>
        </is>
      </c>
      <c r="C36" s="22" t="n">
        <v>2500</v>
      </c>
      <c r="D36" s="20" t="n">
        <v>0</v>
      </c>
      <c r="E36" s="20" t="n">
        <v>100000</v>
      </c>
      <c r="F36" s="5" t="inlineStr">
        <is>
          <t>Net book value at the opening date.</t>
        </is>
      </c>
      <c r="G36" s="10">
        <f>IF(OR(C36&lt;D36,C36&gt;E36),1,0)</f>
        <v/>
      </c>
    </row>
    <row r="37">
      <c r="A37" s="5" t="inlineStr">
        <is>
          <t>Opening trade payables</t>
        </is>
      </c>
      <c r="B37" s="2" t="inlineStr">
        <is>
          <t>GBP k</t>
        </is>
      </c>
      <c r="C37" s="22" t="n">
        <v>1100</v>
      </c>
      <c r="D37" s="20" t="n">
        <v>0</v>
      </c>
      <c r="E37" s="20" t="n">
        <v>100000</v>
      </c>
      <c r="F37" s="5" t="inlineStr">
        <is>
          <t>About one month of non-payroll spend.</t>
        </is>
      </c>
      <c r="G37" s="10">
        <f>IF(OR(C37&lt;D37,C37&gt;E37),1,0)</f>
        <v/>
      </c>
    </row>
    <row r="38">
      <c r="A38" s="5" t="inlineStr">
        <is>
          <t>Opening deferred implementation revenue</t>
        </is>
      </c>
      <c r="B38" s="2" t="inlineStr">
        <is>
          <t>GBP k</t>
        </is>
      </c>
      <c r="C38" s="22" t="n">
        <v>0</v>
      </c>
      <c r="D38" s="20" t="n">
        <v>0</v>
      </c>
      <c r="E38" s="20" t="n">
        <v>10000</v>
      </c>
      <c r="F38" s="5" t="inlineStr">
        <is>
          <t>Subscription deferred revenue is derived from the billing history.</t>
        </is>
      </c>
      <c r="G38" s="10">
        <f>IF(OR(C38&lt;D38,C38&gt;E38),1,0)</f>
        <v/>
      </c>
    </row>
    <row r="39">
      <c r="A39" s="13" t="inlineStr">
        <is>
          <t>People (static)</t>
        </is>
      </c>
      <c r="B39" s="14" t="n"/>
      <c r="C39" s="14" t="n"/>
      <c r="D39" s="14" t="n"/>
      <c r="E39" s="14" t="n"/>
      <c r="F39" s="14" t="n"/>
    </row>
    <row r="40">
      <c r="A40" s="5" t="inlineStr">
        <is>
          <t>Opening headcount - R&amp;D</t>
        </is>
      </c>
      <c r="B40" s="2" t="inlineStr">
        <is>
          <t>FTE</t>
        </is>
      </c>
      <c r="C40" s="22" t="n">
        <v>150</v>
      </c>
      <c r="D40" s="20" t="n">
        <v>0</v>
      </c>
      <c r="E40" s="20" t="n">
        <v>2000</v>
      </c>
      <c r="F40" s="5" t="inlineStr"/>
      <c r="G40" s="10">
        <f>IF(OR(C40&lt;D40,C40&gt;E40),1,0)</f>
        <v/>
      </c>
    </row>
    <row r="41">
      <c r="A41" s="5" t="inlineStr">
        <is>
          <t>Opening headcount - Sales &amp; Marketing</t>
        </is>
      </c>
      <c r="B41" s="2" t="inlineStr">
        <is>
          <t>FTE</t>
        </is>
      </c>
      <c r="C41" s="22" t="n">
        <v>130</v>
      </c>
      <c r="D41" s="20" t="n">
        <v>0</v>
      </c>
      <c r="E41" s="20" t="n">
        <v>2000</v>
      </c>
      <c r="F41" s="5" t="inlineStr"/>
      <c r="G41" s="10">
        <f>IF(OR(C41&lt;D41,C41&gt;E41),1,0)</f>
        <v/>
      </c>
    </row>
    <row r="42">
      <c r="A42" s="5" t="inlineStr">
        <is>
          <t>Opening headcount - G&amp;A</t>
        </is>
      </c>
      <c r="B42" s="2" t="inlineStr">
        <is>
          <t>FTE</t>
        </is>
      </c>
      <c r="C42" s="22" t="n">
        <v>50</v>
      </c>
      <c r="D42" s="20" t="n">
        <v>0</v>
      </c>
      <c r="E42" s="20" t="n">
        <v>2000</v>
      </c>
      <c r="F42" s="5" t="inlineStr"/>
      <c r="G42" s="10">
        <f>IF(OR(C42&lt;D42,C42&gt;E42),1,0)</f>
        <v/>
      </c>
    </row>
    <row r="43">
      <c r="A43" s="5" t="inlineStr">
        <is>
          <t>Opening headcount - Customer Success</t>
        </is>
      </c>
      <c r="B43" s="2" t="inlineStr">
        <is>
          <t>FTE</t>
        </is>
      </c>
      <c r="C43" s="22" t="n">
        <v>70</v>
      </c>
      <c r="D43" s="20" t="n">
        <v>0</v>
      </c>
      <c r="E43" s="20" t="n">
        <v>2000</v>
      </c>
      <c r="F43" s="5" t="inlineStr"/>
      <c r="G43" s="10">
        <f>IF(OR(C43&lt;D43,C43&gt;E43),1,0)</f>
        <v/>
      </c>
    </row>
    <row r="44">
      <c r="A44" s="5" t="inlineStr">
        <is>
          <t>Fully loaded cost per FTE - R&amp;D</t>
        </is>
      </c>
      <c r="B44" s="2" t="inlineStr">
        <is>
          <t>GBP k p.a.</t>
        </is>
      </c>
      <c r="C44" s="23" t="n">
        <v>90</v>
      </c>
      <c r="D44" s="16" t="n">
        <v>30</v>
      </c>
      <c r="E44" s="16" t="n">
        <v>300</v>
      </c>
      <c r="F44" s="5" t="inlineStr">
        <is>
          <t>Salary + employer NI + pension + benefits.</t>
        </is>
      </c>
      <c r="G44" s="10">
        <f>IF(OR(C44&lt;D44,C44&gt;E44),1,0)</f>
        <v/>
      </c>
    </row>
    <row r="45">
      <c r="A45" s="5" t="inlineStr">
        <is>
          <t>Fully loaded cost per FTE - S&amp;M</t>
        </is>
      </c>
      <c r="B45" s="2" t="inlineStr">
        <is>
          <t>GBP k p.a.</t>
        </is>
      </c>
      <c r="C45" s="23" t="n">
        <v>88</v>
      </c>
      <c r="D45" s="16" t="n">
        <v>30</v>
      </c>
      <c r="E45" s="16" t="n">
        <v>300</v>
      </c>
      <c r="F45" s="5" t="inlineStr">
        <is>
          <t>Excludes commission (modelled separately).</t>
        </is>
      </c>
      <c r="G45" s="10">
        <f>IF(OR(C45&lt;D45,C45&gt;E45),1,0)</f>
        <v/>
      </c>
    </row>
    <row r="46">
      <c r="A46" s="5" t="inlineStr">
        <is>
          <t>Fully loaded cost per FTE - G&amp;A</t>
        </is>
      </c>
      <c r="B46" s="2" t="inlineStr">
        <is>
          <t>GBP k p.a.</t>
        </is>
      </c>
      <c r="C46" s="23" t="n">
        <v>75</v>
      </c>
      <c r="D46" s="16" t="n">
        <v>30</v>
      </c>
      <c r="E46" s="16" t="n">
        <v>300</v>
      </c>
      <c r="F46" s="5" t="inlineStr"/>
      <c r="G46" s="10">
        <f>IF(OR(C46&lt;D46,C46&gt;E46),1,0)</f>
        <v/>
      </c>
    </row>
    <row r="47">
      <c r="A47" s="5" t="inlineStr">
        <is>
          <t>Fully loaded cost per FTE - Customer Success</t>
        </is>
      </c>
      <c r="B47" s="2" t="inlineStr">
        <is>
          <t>GBP k p.a.</t>
        </is>
      </c>
      <c r="C47" s="23" t="n">
        <v>65</v>
      </c>
      <c r="D47" s="16" t="n">
        <v>30</v>
      </c>
      <c r="E47" s="16" t="n">
        <v>300</v>
      </c>
      <c r="F47" s="5" t="inlineStr"/>
      <c r="G47" s="10">
        <f>IF(OR(C47&lt;D47,C47&gt;E47),1,0)</f>
        <v/>
      </c>
    </row>
    <row r="48">
      <c r="A48" s="5" t="inlineStr">
        <is>
          <t>Annual pay rise (applied from month 13)</t>
        </is>
      </c>
      <c r="B48" s="2" t="inlineStr">
        <is>
          <t>% p.a.</t>
        </is>
      </c>
      <c r="C48" s="24" t="n">
        <v>0.035</v>
      </c>
      <c r="D48" s="18" t="n">
        <v>0</v>
      </c>
      <c r="E48" s="18" t="n">
        <v>0.15</v>
      </c>
      <c r="F48" s="5" t="inlineStr"/>
      <c r="G48" s="10">
        <f>IF(OR(C48&lt;D48,C48&gt;E48),1,0)</f>
        <v/>
      </c>
    </row>
    <row r="49">
      <c r="A49" s="13" t="inlineStr">
        <is>
          <t>Costs</t>
        </is>
      </c>
      <c r="B49" s="14" t="n"/>
      <c r="C49" s="14" t="n"/>
      <c r="D49" s="14" t="n"/>
      <c r="E49" s="14" t="n"/>
      <c r="F49" s="14" t="n"/>
    </row>
    <row r="50">
      <c r="A50" s="5" t="inlineStr">
        <is>
          <t>Marketing programmes</t>
        </is>
      </c>
      <c r="B50" s="2" t="inlineStr">
        <is>
          <t>GBP k/mo</t>
        </is>
      </c>
      <c r="C50" s="22" t="n">
        <v>480</v>
      </c>
      <c r="D50" s="20" t="n">
        <v>0</v>
      </c>
      <c r="E50" s="20" t="n">
        <v>5000</v>
      </c>
      <c r="F50" s="5" t="inlineStr">
        <is>
          <t>Non-headcount S&amp;M.</t>
        </is>
      </c>
      <c r="G50" s="10">
        <f>IF(OR(C50&lt;D50,C50&gt;E50),1,0)</f>
        <v/>
      </c>
    </row>
    <row r="51">
      <c r="A51" s="5" t="inlineStr">
        <is>
          <t>R&amp;D non-headcount (tools, contractors)</t>
        </is>
      </c>
      <c r="B51" s="2" t="inlineStr">
        <is>
          <t>GBP k/mo</t>
        </is>
      </c>
      <c r="C51" s="22" t="n">
        <v>120</v>
      </c>
      <c r="D51" s="20" t="n">
        <v>0</v>
      </c>
      <c r="E51" s="20" t="n">
        <v>5000</v>
      </c>
      <c r="F51" s="5" t="inlineStr"/>
      <c r="G51" s="10">
        <f>IF(OR(C51&lt;D51,C51&gt;E51),1,0)</f>
        <v/>
      </c>
    </row>
    <row r="52">
      <c r="A52" s="5" t="inlineStr">
        <is>
          <t>G&amp;A non-headcount (rent, fees, insurance)</t>
        </is>
      </c>
      <c r="B52" s="2" t="inlineStr">
        <is>
          <t>GBP k/mo</t>
        </is>
      </c>
      <c r="C52" s="22" t="n">
        <v>320</v>
      </c>
      <c r="D52" s="20" t="n">
        <v>0</v>
      </c>
      <c r="E52" s="20" t="n">
        <v>5000</v>
      </c>
      <c r="F52" s="5" t="inlineStr"/>
      <c r="G52" s="10">
        <f>IF(OR(C52&lt;D52,C52&gt;E52),1,0)</f>
        <v/>
      </c>
    </row>
    <row r="53">
      <c r="A53" s="5" t="inlineStr">
        <is>
          <t>Sales commission</t>
        </is>
      </c>
      <c r="B53" s="2" t="inlineStr">
        <is>
          <t>% of gross new ARR</t>
        </is>
      </c>
      <c r="C53" s="24" t="n">
        <v>0.1</v>
      </c>
      <c r="D53" s="18" t="n">
        <v>0</v>
      </c>
      <c r="E53" s="18" t="n">
        <v>0.3</v>
      </c>
      <c r="F53" s="5" t="inlineStr">
        <is>
          <t>Expensed as incurred in the MVP. Phase 2 capitalises it (IFRS 15 costs to obtain a contract).</t>
        </is>
      </c>
      <c r="G53" s="10">
        <f>IF(OR(C53&lt;D53,C53&gt;E53),1,0)</f>
        <v/>
      </c>
    </row>
    <row r="54">
      <c r="A54" s="5" t="inlineStr">
        <is>
          <t>Capitalise sales commission (1 = yes, 0 = expense)</t>
        </is>
      </c>
      <c r="B54" s="2" t="inlineStr">
        <is>
          <t>1/0</t>
        </is>
      </c>
      <c r="C54" s="25" t="n">
        <v>1</v>
      </c>
      <c r="D54" s="26" t="n">
        <v>0</v>
      </c>
      <c r="E54" s="26" t="n">
        <v>1</v>
      </c>
      <c r="F54" s="5" t="inlineStr">
        <is>
          <t>IFRS 15 incremental costs of obtaining a contract: capitalised and amortised instead of expensed.</t>
        </is>
      </c>
      <c r="G54" s="10">
        <f>IF(OR(C54&lt;D54,C54&gt;E54),1,0)</f>
        <v/>
      </c>
    </row>
    <row r="55">
      <c r="A55" s="5" t="inlineStr">
        <is>
          <t>Contract-cost amortisation (declining balance on opening asset)</t>
        </is>
      </c>
      <c r="B55" s="2" t="inlineStr">
        <is>
          <t>months</t>
        </is>
      </c>
      <c r="C55" s="22" t="n">
        <v>48</v>
      </c>
      <c r="D55" s="20" t="n">
        <v>6</v>
      </c>
      <c r="E55" s="20" t="n">
        <v>120</v>
      </c>
      <c r="F55" s="5" t="inlineStr">
        <is>
          <t>Amortisation = opening asset / this life. Approximates amortising over the expected customer life.</t>
        </is>
      </c>
      <c r="G55" s="10">
        <f>IF(OR(C55&lt;D55,C55&gt;E55),1,0)</f>
        <v/>
      </c>
    </row>
    <row r="56">
      <c r="A56" s="5" t="inlineStr">
        <is>
          <t>Opening capitalised contract costs</t>
        </is>
      </c>
      <c r="B56" s="2" t="inlineStr">
        <is>
          <t>GBP k</t>
        </is>
      </c>
      <c r="C56" s="22" t="n">
        <v>3000</v>
      </c>
      <c r="D56" s="20" t="n">
        <v>0</v>
      </c>
      <c r="E56" s="20" t="n">
        <v>50000</v>
      </c>
      <c r="F56" s="5" t="inlineStr">
        <is>
          <t>Asset balance at the opening date.</t>
        </is>
      </c>
      <c r="G56" s="10">
        <f>IF(OR(C56&lt;D56,C56&gt;E56),1,0)</f>
        <v/>
      </c>
    </row>
    <row r="57">
      <c r="A57" s="5" t="inlineStr">
        <is>
          <t>Hosting cost per Enterprise customer</t>
        </is>
      </c>
      <c r="B57" s="2" t="inlineStr">
        <is>
          <t>GBP k/mo</t>
        </is>
      </c>
      <c r="C57" s="27" t="n">
        <v>1.4</v>
      </c>
      <c r="D57" s="28" t="n">
        <v>0</v>
      </c>
      <c r="E57" s="28" t="n">
        <v>10</v>
      </c>
      <c r="F57" s="5" t="inlineStr"/>
      <c r="G57" s="10">
        <f>IF(OR(C57&lt;D57,C57&gt;E57),1,0)</f>
        <v/>
      </c>
    </row>
    <row r="58">
      <c r="A58" s="5" t="inlineStr">
        <is>
          <t>Hosting cost per Mid-market customer</t>
        </is>
      </c>
      <c r="B58" s="2" t="inlineStr">
        <is>
          <t>GBP k/mo</t>
        </is>
      </c>
      <c r="C58" s="27" t="n">
        <v>0.3</v>
      </c>
      <c r="D58" s="28" t="n">
        <v>0</v>
      </c>
      <c r="E58" s="28" t="n">
        <v>5</v>
      </c>
      <c r="F58" s="5" t="inlineStr"/>
      <c r="G58" s="10">
        <f>IF(OR(C58&lt;D58,C58&gt;E58),1,0)</f>
        <v/>
      </c>
    </row>
    <row r="59">
      <c r="A59" s="5" t="inlineStr">
        <is>
          <t>Third-party licences</t>
        </is>
      </c>
      <c r="B59" s="2" t="inlineStr">
        <is>
          <t>% of subscription revenue</t>
        </is>
      </c>
      <c r="C59" s="24" t="n">
        <v>0.02</v>
      </c>
      <c r="D59" s="18" t="n">
        <v>0</v>
      </c>
      <c r="E59" s="18" t="n">
        <v>0.2</v>
      </c>
      <c r="F59" s="5" t="inlineStr"/>
      <c r="G59" s="10">
        <f>IF(OR(C59&lt;D59,C59&gt;E59),1,0)</f>
        <v/>
      </c>
    </row>
    <row r="60">
      <c r="A60" s="5" t="inlineStr">
        <is>
          <t>Implementation fee</t>
        </is>
      </c>
      <c r="B60" s="2" t="inlineStr">
        <is>
          <t>% of new Enterprise ACV</t>
        </is>
      </c>
      <c r="C60" s="24" t="n">
        <v>0.15</v>
      </c>
      <c r="D60" s="18" t="n">
        <v>0</v>
      </c>
      <c r="E60" s="18" t="n">
        <v>0.5</v>
      </c>
      <c r="F60" s="5" t="inlineStr">
        <is>
          <t>Separate performance obligation, billed at signing, recognised over 3 months.</t>
        </is>
      </c>
      <c r="G60" s="10">
        <f>IF(OR(C60&lt;D60,C60&gt;E60),1,0)</f>
        <v/>
      </c>
    </row>
    <row r="61">
      <c r="A61" s="5" t="inlineStr">
        <is>
          <t>Cost of delivering implementation</t>
        </is>
      </c>
      <c r="B61" s="2" t="inlineStr">
        <is>
          <t>% of implementation revenue</t>
        </is>
      </c>
      <c r="C61" s="24" t="n">
        <v>0.7</v>
      </c>
      <c r="D61" s="18" t="n">
        <v>0</v>
      </c>
      <c r="E61" s="18" t="n">
        <v>1.5</v>
      </c>
      <c r="F61" s="5" t="inlineStr"/>
      <c r="G61" s="10">
        <f>IF(OR(C61&lt;D61,C61&gt;E61),1,0)</f>
        <v/>
      </c>
    </row>
    <row r="62">
      <c r="A62" s="13" t="inlineStr">
        <is>
          <t>Acquisition: Vaultline scenario drivers</t>
        </is>
      </c>
      <c r="B62" s="14" t="n"/>
      <c r="C62" s="14" t="n"/>
      <c r="D62" s="14" t="n"/>
      <c r="E62" s="14" t="n"/>
      <c r="F62" s="14" t="n"/>
    </row>
    <row r="63">
      <c r="A63" s="5" t="inlineStr">
        <is>
          <t>Vaultline new logos per month</t>
        </is>
      </c>
      <c r="B63" s="2" t="inlineStr">
        <is>
          <t>#/mo</t>
        </is>
      </c>
      <c r="C63" s="15">
        <f>INDEX(Inputs_Scenarios!$C26:$F26,1,inp_scen_idx)</f>
        <v/>
      </c>
      <c r="D63" s="16" t="n">
        <v>0</v>
      </c>
      <c r="E63" s="16" t="n">
        <v>10</v>
      </c>
      <c r="F63" s="5" t="inlineStr">
        <is>
          <t>Vaultline's own growth engine, standalone.</t>
        </is>
      </c>
      <c r="G63" s="10">
        <f>IF(OR(C63&lt;D63,C63&gt;E63),1,0)</f>
        <v/>
      </c>
    </row>
    <row r="64">
      <c r="A64" s="5" t="inlineStr">
        <is>
          <t>Vaultline annual expansion</t>
        </is>
      </c>
      <c r="B64" s="2" t="inlineStr">
        <is>
          <t>% of ARR</t>
        </is>
      </c>
      <c r="C64" s="17">
        <f>INDEX(Inputs_Scenarios!$C27:$F27,1,inp_scen_idx)</f>
        <v/>
      </c>
      <c r="D64" s="18" t="n">
        <v>0</v>
      </c>
      <c r="E64" s="18" t="n">
        <v>0.5</v>
      </c>
      <c r="F64" s="5" t="inlineStr"/>
      <c r="G64" s="10">
        <f>IF(OR(C64&lt;D64,C64&gt;E64),1,0)</f>
        <v/>
      </c>
    </row>
    <row r="65">
      <c r="A65" s="5" t="inlineStr">
        <is>
          <t>Vaultline annual gross churn</t>
        </is>
      </c>
      <c r="B65" s="2" t="inlineStr">
        <is>
          <t>% of ARR</t>
        </is>
      </c>
      <c r="C65" s="17">
        <f>INDEX(Inputs_Scenarios!$C28:$F28,1,inp_scen_idx)</f>
        <v/>
      </c>
      <c r="D65" s="18" t="n">
        <v>0</v>
      </c>
      <c r="E65" s="18" t="n">
        <v>0.5</v>
      </c>
      <c r="F65" s="5" t="inlineStr">
        <is>
          <t>Integration risk: customers leave after a change of control.</t>
        </is>
      </c>
      <c r="G65" s="10">
        <f>IF(OR(C65&lt;D65,C65&gt;E65),1,0)</f>
        <v/>
      </c>
    </row>
    <row r="66">
      <c r="A66" s="5" t="inlineStr">
        <is>
          <t>Synergies achieved</t>
        </is>
      </c>
      <c r="B66" s="2" t="inlineStr">
        <is>
          <t>% of plan</t>
        </is>
      </c>
      <c r="C66" s="17">
        <f>INDEX(Inputs_Scenarios!$C29:$F29,1,inp_scen_idx)</f>
        <v/>
      </c>
      <c r="D66" s="18" t="n">
        <v>0</v>
      </c>
      <c r="E66" s="18" t="n">
        <v>2</v>
      </c>
      <c r="F66" s="5" t="inlineStr">
        <is>
          <t>Scales both revenue (cross-sell) and cost synergies. Integration costs are not scaled.</t>
        </is>
      </c>
      <c r="G66" s="10">
        <f>IF(OR(C66&lt;D66,C66&gt;E66),1,0)</f>
        <v/>
      </c>
    </row>
    <row r="67">
      <c r="A67" s="13" t="inlineStr">
        <is>
          <t>Acquisition: deal terms</t>
        </is>
      </c>
      <c r="B67" s="14" t="n"/>
      <c r="C67" s="14" t="n"/>
      <c r="D67" s="14" t="n"/>
      <c r="E67" s="14" t="n"/>
      <c r="F67" s="14" t="n"/>
    </row>
    <row r="68">
      <c r="A68" s="5" t="inlineStr">
        <is>
          <t>Include acquisition in the pro-forma (1 = yes, 0 = no)</t>
        </is>
      </c>
      <c r="B68" s="2" t="inlineStr">
        <is>
          <t>1/0</t>
        </is>
      </c>
      <c r="C68" s="25" t="n">
        <v>1</v>
      </c>
      <c r="D68" s="26" t="n">
        <v>0</v>
      </c>
      <c r="E68" s="26" t="n">
        <v>1</v>
      </c>
      <c r="F68" s="5" t="inlineStr">
        <is>
          <t>0 makes MA_ProForma equal Northgate standalone.</t>
        </is>
      </c>
      <c r="G68" s="10">
        <f>IF(OR(C68&lt;D68,C68&gt;E68),1,0)</f>
        <v/>
      </c>
    </row>
    <row r="69">
      <c r="A69" s="5" t="inlineStr">
        <is>
          <t>Offer: enterprise value / Vaultline opening ARR</t>
        </is>
      </c>
      <c r="B69" s="2" t="inlineStr">
        <is>
          <t>x ARR</t>
        </is>
      </c>
      <c r="C69" s="23" t="n">
        <v>4.5</v>
      </c>
      <c r="D69" s="16" t="n">
        <v>1</v>
      </c>
      <c r="E69" s="16" t="n">
        <v>12</v>
      </c>
      <c r="F69" s="5" t="inlineStr">
        <is>
          <t>Sets the offer price (EV). Equity price = EV + cash acquired (Vaultline has no debt).</t>
        </is>
      </c>
      <c r="G69" s="10">
        <f>IF(OR(C69&lt;D69,C69&gt;E69),1,0)</f>
        <v/>
      </c>
    </row>
    <row r="70">
      <c r="A70" s="5" t="inlineStr">
        <is>
          <t>Acquisition term loan</t>
        </is>
      </c>
      <c r="B70" s="2" t="inlineStr">
        <is>
          <t>GBP k</t>
        </is>
      </c>
      <c r="C70" s="22" t="n">
        <v>15000</v>
      </c>
      <c r="D70" s="20" t="n">
        <v>0</v>
      </c>
      <c r="E70" s="20" t="n">
        <v>100000</v>
      </c>
      <c r="F70" s="5" t="inlineStr">
        <is>
          <t>Bullet loan; balance of the equity price is paid from Northgate cash.</t>
        </is>
      </c>
      <c r="G70" s="10">
        <f>IF(OR(C70&lt;D70,C70&gt;E70),1,0)</f>
        <v/>
      </c>
    </row>
    <row r="71">
      <c r="A71" s="5" t="inlineStr">
        <is>
          <t>Acquisition loan interest rate</t>
        </is>
      </c>
      <c r="B71" s="2" t="inlineStr">
        <is>
          <t>% p.a.</t>
        </is>
      </c>
      <c r="C71" s="24" t="n">
        <v>0.08</v>
      </c>
      <c r="D71" s="18" t="n">
        <v>0</v>
      </c>
      <c r="E71" s="18" t="n">
        <v>0.25</v>
      </c>
      <c r="F71" s="5" t="inlineStr">
        <is>
          <t>Charged on the prior-period balance.</t>
        </is>
      </c>
      <c r="G71" s="10">
        <f>IF(OR(C71&lt;D71,C71&gt;E71),1,0)</f>
        <v/>
      </c>
    </row>
    <row r="72">
      <c r="A72" s="5" t="inlineStr">
        <is>
          <t>Transaction costs</t>
        </is>
      </c>
      <c r="B72" s="2" t="inlineStr">
        <is>
          <t>% of EV</t>
        </is>
      </c>
      <c r="C72" s="24" t="n">
        <v>0.02</v>
      </c>
      <c r="D72" s="18" t="n">
        <v>0</v>
      </c>
      <c r="E72" s="18" t="n">
        <v>0.1</v>
      </c>
      <c r="F72" s="5" t="inlineStr">
        <is>
          <t>Expensed in month 1 (IFRS 3.53).</t>
        </is>
      </c>
      <c r="G72" s="10">
        <f>IF(OR(C72&lt;D72,C72&gt;E72),1,0)</f>
        <v/>
      </c>
    </row>
    <row r="73">
      <c r="A73" s="5" t="inlineStr">
        <is>
          <t>Integration costs, total</t>
        </is>
      </c>
      <c r="B73" s="2" t="inlineStr">
        <is>
          <t>GBP k</t>
        </is>
      </c>
      <c r="C73" s="22" t="n">
        <v>3000</v>
      </c>
      <c r="D73" s="20" t="n">
        <v>0</v>
      </c>
      <c r="E73" s="20" t="n">
        <v>20000</v>
      </c>
      <c r="F73" s="5" t="inlineStr">
        <is>
          <t>One-off, spread evenly.</t>
        </is>
      </c>
      <c r="G73" s="10">
        <f>IF(OR(C73&lt;D73,C73&gt;E73),1,0)</f>
        <v/>
      </c>
    </row>
    <row r="74">
      <c r="A74" s="5" t="inlineStr">
        <is>
          <t>Integration period</t>
        </is>
      </c>
      <c r="B74" s="2" t="inlineStr">
        <is>
          <t>months</t>
        </is>
      </c>
      <c r="C74" s="22" t="n">
        <v>12</v>
      </c>
      <c r="D74" s="20" t="n">
        <v>1</v>
      </c>
      <c r="E74" s="20" t="n">
        <v>24</v>
      </c>
      <c r="F74" s="5" t="inlineStr">
        <is>
          <t>Costs spread evenly over this many months from month 1.</t>
        </is>
      </c>
      <c r="G74" s="10">
        <f>IF(OR(C74&lt;D74,C74&gt;E74),1,0)</f>
        <v/>
      </c>
    </row>
    <row r="75">
      <c r="A75" s="5" t="inlineStr">
        <is>
          <t>Cross-sell: Vaultline product sold to Northgate customers per month (at full ramp)</t>
        </is>
      </c>
      <c r="B75" s="2" t="inlineStr">
        <is>
          <t>#/mo</t>
        </is>
      </c>
      <c r="C75" s="23" t="n">
        <v>0.8</v>
      </c>
      <c r="D75" s="16" t="n">
        <v>0</v>
      </c>
      <c r="E75" s="16" t="n">
        <v>10</v>
      </c>
      <c r="F75" s="5" t="inlineStr">
        <is>
          <t>Revenue synergy volume.</t>
        </is>
      </c>
      <c r="G75" s="10">
        <f>IF(OR(C75&lt;D75,C75&gt;E75),1,0)</f>
        <v/>
      </c>
    </row>
    <row r="76">
      <c r="A76" s="5" t="inlineStr">
        <is>
          <t>Cross-sell ACV</t>
        </is>
      </c>
      <c r="B76" s="2" t="inlineStr">
        <is>
          <t>GBP k</t>
        </is>
      </c>
      <c r="C76" s="23" t="n">
        <v>45</v>
      </c>
      <c r="D76" s="16" t="n">
        <v>0</v>
      </c>
      <c r="E76" s="16" t="n">
        <v>500</v>
      </c>
      <c r="F76" s="5" t="inlineStr"/>
      <c r="G76" s="10">
        <f>IF(OR(C76&lt;D76,C76&gt;E76),1,0)</f>
        <v/>
      </c>
    </row>
    <row r="77">
      <c r="A77" s="5" t="inlineStr">
        <is>
          <t>Synergies start in month</t>
        </is>
      </c>
      <c r="B77" s="2" t="inlineStr">
        <is>
          <t>month</t>
        </is>
      </c>
      <c r="C77" s="22" t="n">
        <v>7</v>
      </c>
      <c r="D77" s="20" t="n">
        <v>1</v>
      </c>
      <c r="E77" s="20" t="n">
        <v>24</v>
      </c>
      <c r="F77" s="5" t="inlineStr"/>
      <c r="G77" s="10">
        <f>IF(OR(C77&lt;D77,C77&gt;E77),1,0)</f>
        <v/>
      </c>
    </row>
    <row r="78">
      <c r="A78" s="5" t="inlineStr">
        <is>
          <t>Synergy ramp-up</t>
        </is>
      </c>
      <c r="B78" s="2" t="inlineStr">
        <is>
          <t>months</t>
        </is>
      </c>
      <c r="C78" s="22" t="n">
        <v>6</v>
      </c>
      <c r="D78" s="20" t="n">
        <v>1</v>
      </c>
      <c r="E78" s="20" t="n">
        <v>24</v>
      </c>
      <c r="F78" s="5" t="inlineStr">
        <is>
          <t>Linear ramp from start to 100%.</t>
        </is>
      </c>
      <c r="G78" s="10">
        <f>IF(OR(C78&lt;D78,C78&gt;E78),1,0)</f>
        <v/>
      </c>
    </row>
    <row r="79">
      <c r="A79" s="5" t="inlineStr">
        <is>
          <t>Contribution margin on cross-sell revenue</t>
        </is>
      </c>
      <c r="B79" s="2" t="inlineStr">
        <is>
          <t>%</t>
        </is>
      </c>
      <c r="C79" s="24" t="n">
        <v>0.65</v>
      </c>
      <c r="D79" s="18" t="n">
        <v>0</v>
      </c>
      <c r="E79" s="18" t="n">
        <v>1</v>
      </c>
      <c r="F79" s="5" t="inlineStr">
        <is>
          <t>Revenue synergies are not free: they carry delivery and selling cost.</t>
        </is>
      </c>
      <c r="G79" s="10">
        <f>IF(OR(C79&lt;D79,C79&gt;E79),1,0)</f>
        <v/>
      </c>
    </row>
    <row r="80">
      <c r="A80" s="5" t="inlineStr">
        <is>
          <t>Cost synergies, annual run-rate</t>
        </is>
      </c>
      <c r="B80" s="2" t="inlineStr">
        <is>
          <t>GBP k p.a.</t>
        </is>
      </c>
      <c r="C80" s="22" t="n">
        <v>1200</v>
      </c>
      <c r="D80" s="20" t="n">
        <v>0</v>
      </c>
      <c r="E80" s="20" t="n">
        <v>20000</v>
      </c>
      <c r="F80" s="5" t="inlineStr">
        <is>
          <t>Duplicate G&amp;A and hosting.</t>
        </is>
      </c>
      <c r="G80" s="10">
        <f>IF(OR(C80&lt;D80,C80&gt;E80),1,0)</f>
        <v/>
      </c>
    </row>
    <row r="81">
      <c r="A81" s="5" t="inlineStr">
        <is>
          <t>Intercompany contract: Northgate software sold to Vaultline</t>
        </is>
      </c>
      <c r="B81" s="2" t="inlineStr">
        <is>
          <t>GBP k p.a.</t>
        </is>
      </c>
      <c r="C81" s="22" t="n">
        <v>240</v>
      </c>
      <c r="D81" s="20" t="n">
        <v>0</v>
      </c>
      <c r="E81" s="20" t="n">
        <v>5000</v>
      </c>
      <c r="F81" s="5" t="inlineStr">
        <is>
          <t>Eliminated on consolidation (revenue and cost).</t>
        </is>
      </c>
      <c r="G81" s="10">
        <f>IF(OR(C81&lt;D81,C81&gt;E81),1,0)</f>
        <v/>
      </c>
    </row>
    <row r="82">
      <c r="A82" s="13" t="inlineStr">
        <is>
          <t>Acquisition: purchase price allocation (IFRS 3)</t>
        </is>
      </c>
      <c r="B82" s="14" t="n"/>
      <c r="C82" s="14" t="n"/>
      <c r="D82" s="14" t="n"/>
      <c r="E82" s="14" t="n"/>
      <c r="F82" s="14" t="n"/>
    </row>
    <row r="83">
      <c r="A83" s="5" t="inlineStr">
        <is>
          <t>Deferred revenue fair-value haircut</t>
        </is>
      </c>
      <c r="B83" s="2" t="inlineStr">
        <is>
          <t>% of book</t>
        </is>
      </c>
      <c r="C83" s="24" t="n">
        <v>0.3</v>
      </c>
      <c r="D83" s="18" t="n">
        <v>0</v>
      </c>
      <c r="E83" s="18" t="n">
        <v>0.8</v>
      </c>
      <c r="F83" s="5" t="inlineStr">
        <is>
          <t>IFRS 3 measures acquired deferred revenue at fair value; US GAAP (ASU 2021-08) carries it over at book.</t>
        </is>
      </c>
      <c r="G83" s="10">
        <f>IF(OR(C83&lt;D83,C83&gt;E83),1,0)</f>
        <v/>
      </c>
    </row>
    <row r="84">
      <c r="A84" s="5" t="inlineStr">
        <is>
          <t>Customer relationships</t>
        </is>
      </c>
      <c r="B84" s="2" t="inlineStr">
        <is>
          <t>% of EV</t>
        </is>
      </c>
      <c r="C84" s="24" t="n">
        <v>0.3</v>
      </c>
      <c r="D84" s="18" t="n">
        <v>0</v>
      </c>
      <c r="E84" s="18" t="n">
        <v>0.7</v>
      </c>
      <c r="F84" s="5" t="inlineStr">
        <is>
          <t>Illustrative; in practice from a valuation specialist (multi-period excess earnings).</t>
        </is>
      </c>
      <c r="G84" s="10">
        <f>IF(OR(C84&lt;D84,C84&gt;E84),1,0)</f>
        <v/>
      </c>
    </row>
    <row r="85">
      <c r="A85" s="5" t="inlineStr">
        <is>
          <t>Acquired technology</t>
        </is>
      </c>
      <c r="B85" s="2" t="inlineStr">
        <is>
          <t>% of EV</t>
        </is>
      </c>
      <c r="C85" s="24" t="n">
        <v>0.12</v>
      </c>
      <c r="D85" s="18" t="n">
        <v>0</v>
      </c>
      <c r="E85" s="18" t="n">
        <v>0.5</v>
      </c>
      <c r="F85" s="5" t="inlineStr">
        <is>
          <t>Illustrative (relief from royalty).</t>
        </is>
      </c>
      <c r="G85" s="10">
        <f>IF(OR(C85&lt;D85,C85&gt;E85),1,0)</f>
        <v/>
      </c>
    </row>
    <row r="86">
      <c r="A86" s="5" t="inlineStr">
        <is>
          <t>Customer relationships: useful life</t>
        </is>
      </c>
      <c r="B86" s="2" t="inlineStr">
        <is>
          <t>months</t>
        </is>
      </c>
      <c r="C86" s="22" t="n">
        <v>96</v>
      </c>
      <c r="D86" s="20" t="n">
        <v>24</v>
      </c>
      <c r="E86" s="20" t="n">
        <v>240</v>
      </c>
      <c r="F86" s="5" t="inlineStr"/>
      <c r="G86" s="10">
        <f>IF(OR(C86&lt;D86,C86&gt;E86),1,0)</f>
        <v/>
      </c>
    </row>
    <row r="87">
      <c r="A87" s="5" t="inlineStr">
        <is>
          <t>Technology: useful life</t>
        </is>
      </c>
      <c r="B87" s="2" t="inlineStr">
        <is>
          <t>months</t>
        </is>
      </c>
      <c r="C87" s="22" t="n">
        <v>60</v>
      </c>
      <c r="D87" s="20" t="n">
        <v>24</v>
      </c>
      <c r="E87" s="20" t="n">
        <v>240</v>
      </c>
      <c r="F87" s="5" t="inlineStr"/>
      <c r="G87" s="10">
        <f>IF(OR(C87&lt;D87,C87&gt;E87),1,0)</f>
        <v/>
      </c>
    </row>
    <row r="88">
      <c r="A88" s="13" t="inlineStr">
        <is>
          <t>Acquisition: valuation</t>
        </is>
      </c>
      <c r="B88" s="14" t="n"/>
      <c r="C88" s="14" t="n"/>
      <c r="D88" s="14" t="n"/>
      <c r="E88" s="14" t="n"/>
      <c r="F88" s="14" t="n"/>
    </row>
    <row r="89">
      <c r="A89" s="5" t="inlineStr">
        <is>
          <t>Discount rate (WACC)</t>
        </is>
      </c>
      <c r="B89" s="2" t="inlineStr">
        <is>
          <t>%</t>
        </is>
      </c>
      <c r="C89" s="24" t="n">
        <v>0.115</v>
      </c>
      <c r="D89" s="18" t="n">
        <v>0.05</v>
      </c>
      <c r="E89" s="18" t="n">
        <v>0.25</v>
      </c>
      <c r="F89" s="5" t="inlineStr">
        <is>
          <t>Applied to Vaultline cash flows and synergies.</t>
        </is>
      </c>
      <c r="G89" s="10">
        <f>IF(OR(C89&lt;D89,C89&gt;E89),1,0)</f>
        <v/>
      </c>
    </row>
    <row r="90">
      <c r="A90" s="5" t="inlineStr">
        <is>
          <t>Terminal growth</t>
        </is>
      </c>
      <c r="B90" s="2" t="inlineStr">
        <is>
          <t>%</t>
        </is>
      </c>
      <c r="C90" s="24" t="n">
        <v>0.03</v>
      </c>
      <c r="D90" s="18" t="n">
        <v>0</v>
      </c>
      <c r="E90" s="18" t="n">
        <v>0.06</v>
      </c>
      <c r="F90" s="5" t="inlineStr">
        <is>
          <t>Must be below WACC.</t>
        </is>
      </c>
      <c r="G90" s="10">
        <f>IF(OR(C90&lt;D90,C90&gt;E90),1,0)</f>
        <v/>
      </c>
    </row>
    <row r="91">
      <c r="A91" s="5" t="inlineStr">
        <is>
          <t>DCF sensitivity band on WACC (low / high cases)</t>
        </is>
      </c>
      <c r="B91" s="2" t="inlineStr">
        <is>
          <t>pts</t>
        </is>
      </c>
      <c r="C91" s="24" t="n">
        <v>0.01</v>
      </c>
      <c r="D91" s="18" t="n">
        <v>0</v>
      </c>
      <c r="E91" s="18" t="n">
        <v>0.05</v>
      </c>
      <c r="F91" s="5" t="inlineStr">
        <is>
          <t>Low case = WACC + band; high case = WACC - band.</t>
        </is>
      </c>
      <c r="G91" s="10">
        <f>IF(OR(C91&lt;D91,C91&gt;E91),1,0)</f>
        <v/>
      </c>
    </row>
    <row r="92">
      <c r="A92" s="5" t="inlineStr">
        <is>
          <t>DCF sensitivity band on terminal growth</t>
        </is>
      </c>
      <c r="B92" s="2" t="inlineStr">
        <is>
          <t>pts</t>
        </is>
      </c>
      <c r="C92" s="24" t="n">
        <v>0.005</v>
      </c>
      <c r="D92" s="18" t="n">
        <v>0</v>
      </c>
      <c r="E92" s="18" t="n">
        <v>0.02</v>
      </c>
      <c r="F92" s="5" t="inlineStr">
        <is>
          <t>Low case = growth - band; high case = growth + band.</t>
        </is>
      </c>
      <c r="G92" s="10">
        <f>IF(OR(C92&lt;D92,C92&gt;E92),1,0)</f>
        <v/>
      </c>
    </row>
    <row r="93">
      <c r="A93" s="5" t="inlineStr">
        <is>
          <t>Vaultline ARR growth fade, years 3-5</t>
        </is>
      </c>
      <c r="B93" s="2" t="inlineStr">
        <is>
          <t>pts p.a.</t>
        </is>
      </c>
      <c r="C93" s="24" t="n">
        <v>0.03</v>
      </c>
      <c r="D93" s="18" t="n">
        <v>0</v>
      </c>
      <c r="E93" s="18" t="n">
        <v>0.2</v>
      </c>
      <c r="F93" s="5" t="inlineStr">
        <is>
          <t>Growth falls by this much each year after year 2.</t>
        </is>
      </c>
      <c r="G93" s="10">
        <f>IF(OR(C93&lt;D93,C93&gt;E93),1,0)</f>
        <v/>
      </c>
    </row>
    <row r="94">
      <c r="A94" s="13" t="inlineStr">
        <is>
          <t>Acquisition: Vaultline standalone (opening position and cost structure)</t>
        </is>
      </c>
      <c r="B94" s="14" t="n"/>
      <c r="C94" s="14" t="n"/>
      <c r="D94" s="14" t="n"/>
      <c r="E94" s="14" t="n"/>
      <c r="F94" s="14" t="n"/>
    </row>
    <row r="95">
      <c r="A95" s="5" t="inlineStr">
        <is>
          <t>Vaultline opening ARR</t>
        </is>
      </c>
      <c r="B95" s="2" t="inlineStr">
        <is>
          <t>GBP k</t>
        </is>
      </c>
      <c r="C95" s="22" t="n">
        <v>6000</v>
      </c>
      <c r="D95" s="20" t="n">
        <v>0</v>
      </c>
      <c r="E95" s="20" t="n">
        <v>100000</v>
      </c>
      <c r="F95" s="5" t="inlineStr"/>
      <c r="G95" s="10">
        <f>IF(OR(C95&lt;D95,C95&gt;E95),1,0)</f>
        <v/>
      </c>
    </row>
    <row r="96">
      <c r="A96" s="5" t="inlineStr">
        <is>
          <t>Vaultline opening customers</t>
        </is>
      </c>
      <c r="B96" s="2" t="inlineStr">
        <is>
          <t>#</t>
        </is>
      </c>
      <c r="C96" s="22" t="n">
        <v>150</v>
      </c>
      <c r="D96" s="20" t="n">
        <v>0</v>
      </c>
      <c r="E96" s="20" t="n">
        <v>5000</v>
      </c>
      <c r="F96" s="5" t="inlineStr"/>
      <c r="G96" s="10">
        <f>IF(OR(C96&lt;D96,C96&gt;E96),1,0)</f>
        <v/>
      </c>
    </row>
    <row r="97">
      <c r="A97" s="5" t="inlineStr">
        <is>
          <t>Vaultline ACV of new customers</t>
        </is>
      </c>
      <c r="B97" s="2" t="inlineStr">
        <is>
          <t>GBP k</t>
        </is>
      </c>
      <c r="C97" s="23" t="n">
        <v>42</v>
      </c>
      <c r="D97" s="16" t="n">
        <v>1</v>
      </c>
      <c r="E97" s="16" t="n">
        <v>500</v>
      </c>
      <c r="F97" s="5" t="inlineStr"/>
      <c r="G97" s="10">
        <f>IF(OR(C97&lt;D97,C97&gt;E97),1,0)</f>
        <v/>
      </c>
    </row>
    <row r="98">
      <c r="A98" s="5" t="inlineStr">
        <is>
          <t>Vaultline cost of revenue</t>
        </is>
      </c>
      <c r="B98" s="2" t="inlineStr">
        <is>
          <t>% of revenue</t>
        </is>
      </c>
      <c r="C98" s="24" t="n">
        <v>0.2</v>
      </c>
      <c r="D98" s="18" t="n">
        <v>0</v>
      </c>
      <c r="E98" s="18" t="n">
        <v>1</v>
      </c>
      <c r="F98" s="5" t="inlineStr">
        <is>
          <t>Includes the intercompany software cost.</t>
        </is>
      </c>
      <c r="G98" s="10">
        <f>IF(OR(C98&lt;D98,C98&gt;E98),1,0)</f>
        <v/>
      </c>
    </row>
    <row r="99">
      <c r="A99" s="5" t="inlineStr">
        <is>
          <t>Vaultline R&amp;D</t>
        </is>
      </c>
      <c r="B99" s="2" t="inlineStr">
        <is>
          <t>% of revenue</t>
        </is>
      </c>
      <c r="C99" s="24" t="n">
        <v>0.17</v>
      </c>
      <c r="D99" s="18" t="n">
        <v>0</v>
      </c>
      <c r="E99" s="18" t="n">
        <v>1</v>
      </c>
      <c r="F99" s="5" t="inlineStr"/>
      <c r="G99" s="10">
        <f>IF(OR(C99&lt;D99,C99&gt;E99),1,0)</f>
        <v/>
      </c>
    </row>
    <row r="100">
      <c r="A100" s="5" t="inlineStr">
        <is>
          <t>Vaultline sales &amp; marketing</t>
        </is>
      </c>
      <c r="B100" s="2" t="inlineStr">
        <is>
          <t>% of revenue</t>
        </is>
      </c>
      <c r="C100" s="24" t="n">
        <v>0.26</v>
      </c>
      <c r="D100" s="18" t="n">
        <v>0</v>
      </c>
      <c r="E100" s="18" t="n">
        <v>1</v>
      </c>
      <c r="F100" s="5" t="inlineStr"/>
      <c r="G100" s="10">
        <f>IF(OR(C100&lt;D100,C100&gt;E100),1,0)</f>
        <v/>
      </c>
    </row>
    <row r="101">
      <c r="A101" s="5" t="inlineStr">
        <is>
          <t>Vaultline G&amp;A</t>
        </is>
      </c>
      <c r="B101" s="2" t="inlineStr">
        <is>
          <t>% of revenue</t>
        </is>
      </c>
      <c r="C101" s="24" t="n">
        <v>0.12</v>
      </c>
      <c r="D101" s="18" t="n">
        <v>0</v>
      </c>
      <c r="E101" s="18" t="n">
        <v>1</v>
      </c>
      <c r="F101" s="5" t="inlineStr"/>
      <c r="G101" s="10">
        <f>IF(OR(C101&lt;D101,C101&gt;E101),1,0)</f>
        <v/>
      </c>
    </row>
    <row r="102">
      <c r="A102" s="5" t="inlineStr">
        <is>
          <t>Vaultline payment terms (DSO)</t>
        </is>
      </c>
      <c r="B102" s="2" t="inlineStr">
        <is>
          <t>days</t>
        </is>
      </c>
      <c r="C102" s="22" t="n">
        <v>40</v>
      </c>
      <c r="D102" s="20" t="n">
        <v>0</v>
      </c>
      <c r="E102" s="20" t="n">
        <v>90</v>
      </c>
      <c r="F102" s="5" t="inlineStr"/>
      <c r="G102" s="10">
        <f>IF(OR(C102&lt;D102,C102&gt;E102),1,0)</f>
        <v/>
      </c>
    </row>
    <row r="103">
      <c r="A103" s="5" t="inlineStr">
        <is>
          <t>Vaultline payables</t>
        </is>
      </c>
      <c r="B103" s="2" t="inlineStr">
        <is>
          <t>months of costs</t>
        </is>
      </c>
      <c r="C103" s="23" t="n">
        <v>0.4</v>
      </c>
      <c r="D103" s="16" t="n">
        <v>0</v>
      </c>
      <c r="E103" s="16" t="n">
        <v>1</v>
      </c>
      <c r="F103" s="5" t="inlineStr"/>
      <c r="G103" s="10">
        <f>IF(OR(C103&lt;D103,C103&gt;E103),1,0)</f>
        <v/>
      </c>
    </row>
    <row r="104">
      <c r="A104" s="5" t="inlineStr">
        <is>
          <t>Vaultline capex</t>
        </is>
      </c>
      <c r="B104" s="2" t="inlineStr">
        <is>
          <t>% of revenue</t>
        </is>
      </c>
      <c r="C104" s="24" t="n">
        <v>0.01</v>
      </c>
      <c r="D104" s="18" t="n">
        <v>0</v>
      </c>
      <c r="E104" s="18" t="n">
        <v>0.2</v>
      </c>
      <c r="F104" s="5" t="inlineStr"/>
      <c r="G104" s="10">
        <f>IF(OR(C104&lt;D104,C104&gt;E104),1,0)</f>
        <v/>
      </c>
    </row>
    <row r="105">
      <c r="A105" s="5" t="inlineStr">
        <is>
          <t>Vaultline depreciation life</t>
        </is>
      </c>
      <c r="B105" s="2" t="inlineStr">
        <is>
          <t>months</t>
        </is>
      </c>
      <c r="C105" s="22" t="n">
        <v>36</v>
      </c>
      <c r="D105" s="20" t="n">
        <v>6</v>
      </c>
      <c r="E105" s="20" t="n">
        <v>120</v>
      </c>
      <c r="F105" s="5" t="inlineStr"/>
      <c r="G105" s="10">
        <f>IF(OR(C105&lt;D105,C105&gt;E105),1,0)</f>
        <v/>
      </c>
    </row>
    <row r="106">
      <c r="A106" s="5" t="inlineStr">
        <is>
          <t>Vaultline opening cash</t>
        </is>
      </c>
      <c r="B106" s="2" t="inlineStr">
        <is>
          <t>GBP k</t>
        </is>
      </c>
      <c r="C106" s="22" t="n">
        <v>3500</v>
      </c>
      <c r="D106" s="20" t="n">
        <v>0</v>
      </c>
      <c r="E106" s="20" t="n">
        <v>100000</v>
      </c>
      <c r="F106" s="5" t="inlineStr"/>
      <c r="G106" s="10">
        <f>IF(OR(C106&lt;D106,C106&gt;E106),1,0)</f>
        <v/>
      </c>
    </row>
    <row r="107">
      <c r="A107" s="5" t="inlineStr">
        <is>
          <t>Vaultline opening receivables</t>
        </is>
      </c>
      <c r="B107" s="2" t="inlineStr">
        <is>
          <t>GBP k</t>
        </is>
      </c>
      <c r="C107" s="22" t="n">
        <v>1000</v>
      </c>
      <c r="D107" s="20" t="n">
        <v>0</v>
      </c>
      <c r="E107" s="20" t="n">
        <v>50000</v>
      </c>
      <c r="F107" s="5" t="inlineStr"/>
      <c r="G107" s="10">
        <f>IF(OR(C107&lt;D107,C107&gt;E107),1,0)</f>
        <v/>
      </c>
    </row>
    <row r="108">
      <c r="A108" s="5" t="inlineStr">
        <is>
          <t>Vaultline opening PP&amp;E</t>
        </is>
      </c>
      <c r="B108" s="2" t="inlineStr">
        <is>
          <t>GBP k</t>
        </is>
      </c>
      <c r="C108" s="22" t="n">
        <v>400</v>
      </c>
      <c r="D108" s="20" t="n">
        <v>0</v>
      </c>
      <c r="E108" s="20" t="n">
        <v>50000</v>
      </c>
      <c r="F108" s="5" t="inlineStr"/>
      <c r="G108" s="10">
        <f>IF(OR(C108&lt;D108,C108&gt;E108),1,0)</f>
        <v/>
      </c>
    </row>
    <row r="109">
      <c r="A109" s="13" t="inlineStr">
        <is>
          <t>Long-term extension (years 3-5)</t>
        </is>
      </c>
      <c r="B109" s="14" t="n"/>
      <c r="C109" s="14" t="n"/>
      <c r="D109" s="14" t="n"/>
      <c r="E109" s="14" t="n"/>
      <c r="F109" s="14" t="n"/>
    </row>
    <row r="110">
      <c r="A110" s="5" t="inlineStr">
        <is>
          <t>Annual growth in new-logo ARR</t>
        </is>
      </c>
      <c r="B110" s="2" t="inlineStr">
        <is>
          <t>% p.a.</t>
        </is>
      </c>
      <c r="C110" s="24" t="n">
        <v>0.12</v>
      </c>
      <c r="D110" s="18" t="n">
        <v>-0.2</v>
      </c>
      <c r="E110" s="18" t="n">
        <v>0.6</v>
      </c>
      <c r="F110" s="5" t="inlineStr">
        <is>
          <t>New-logo ARR in year N = year N-1 x (1 + this).</t>
        </is>
      </c>
      <c r="G110" s="10">
        <f>IF(OR(C110&lt;D110,C110&gt;E110),1,0)</f>
        <v/>
      </c>
    </row>
    <row r="111">
      <c r="A111" s="5" t="inlineStr">
        <is>
          <t>Annual change in expansion rate</t>
        </is>
      </c>
      <c r="B111" s="2" t="inlineStr">
        <is>
          <t>pts p.a.</t>
        </is>
      </c>
      <c r="C111" s="24" t="n">
        <v>0.005</v>
      </c>
      <c r="D111" s="18" t="n">
        <v>-0.05</v>
      </c>
      <c r="E111" s="18" t="n">
        <v>0.05</v>
      </c>
      <c r="F111" s="5" t="inlineStr">
        <is>
          <t>Added to the prior year's expansion rate. Churn rate is held at the prior year.</t>
        </is>
      </c>
      <c r="G111" s="10">
        <f>IF(OR(C111&lt;D111,C111&gt;E111),1,0)</f>
        <v/>
      </c>
    </row>
    <row r="112">
      <c r="A112" s="5" t="inlineStr">
        <is>
          <t>Annual change in gross margin</t>
        </is>
      </c>
      <c r="B112" s="2" t="inlineStr">
        <is>
          <t>pts p.a.</t>
        </is>
      </c>
      <c r="C112" s="24" t="n">
        <v>0.005</v>
      </c>
      <c r="D112" s="18" t="n">
        <v>-0.05</v>
      </c>
      <c r="E112" s="18" t="n">
        <v>0.05</v>
      </c>
      <c r="F112" s="5" t="inlineStr"/>
      <c r="G112" s="10">
        <f>IF(OR(C112&lt;D112,C112&gt;E112),1,0)</f>
        <v/>
      </c>
    </row>
    <row r="113">
      <c r="A113" s="5" t="inlineStr">
        <is>
          <t>Annual reduction in R&amp;D as % of revenue</t>
        </is>
      </c>
      <c r="B113" s="2" t="inlineStr">
        <is>
          <t>pts p.a.</t>
        </is>
      </c>
      <c r="C113" s="24" t="n">
        <v>0.015</v>
      </c>
      <c r="D113" s="18" t="n">
        <v>-0.05</v>
      </c>
      <c r="E113" s="18" t="n">
        <v>0.1</v>
      </c>
      <c r="F113" s="5" t="inlineStr">
        <is>
          <t>Operating leverage.</t>
        </is>
      </c>
      <c r="G113" s="10">
        <f>IF(OR(C113&lt;D113,C113&gt;E113),1,0)</f>
        <v/>
      </c>
    </row>
    <row r="114">
      <c r="A114" s="5" t="inlineStr">
        <is>
          <t>Annual reduction in S&amp;M as % of revenue</t>
        </is>
      </c>
      <c r="B114" s="2" t="inlineStr">
        <is>
          <t>pts p.a.</t>
        </is>
      </c>
      <c r="C114" s="24" t="n">
        <v>0.02</v>
      </c>
      <c r="D114" s="18" t="n">
        <v>-0.05</v>
      </c>
      <c r="E114" s="18" t="n">
        <v>0.1</v>
      </c>
      <c r="F114" s="5" t="inlineStr">
        <is>
          <t>Operating leverage.</t>
        </is>
      </c>
      <c r="G114" s="10">
        <f>IF(OR(C114&lt;D114,C114&gt;E114),1,0)</f>
        <v/>
      </c>
    </row>
    <row r="115">
      <c r="A115" s="5" t="inlineStr">
        <is>
          <t>Annual reduction in G&amp;A as % of revenue</t>
        </is>
      </c>
      <c r="B115" s="2" t="inlineStr">
        <is>
          <t>pts p.a.</t>
        </is>
      </c>
      <c r="C115" s="24" t="n">
        <v>0.0075</v>
      </c>
      <c r="D115" s="18" t="n">
        <v>-0.05</v>
      </c>
      <c r="E115" s="18" t="n">
        <v>0.1</v>
      </c>
      <c r="F115" s="5" t="inlineStr">
        <is>
          <t>Operating leverage.</t>
        </is>
      </c>
      <c r="G115" s="10">
        <f>IF(OR(C115&lt;D115,C115&gt;E115),1,0)</f>
        <v/>
      </c>
    </row>
    <row r="116">
      <c r="A116" s="13" t="inlineStr">
        <is>
          <t>Accounting and tax</t>
        </is>
      </c>
      <c r="B116" s="14" t="n"/>
      <c r="C116" s="14" t="n"/>
      <c r="D116" s="14" t="n"/>
      <c r="E116" s="14" t="n"/>
      <c r="F116" s="14" t="n"/>
    </row>
    <row r="117">
      <c r="A117" s="5" t="inlineStr">
        <is>
          <t>Capex</t>
        </is>
      </c>
      <c r="B117" s="2" t="inlineStr">
        <is>
          <t>% of revenue</t>
        </is>
      </c>
      <c r="C117" s="24" t="n">
        <v>0.015</v>
      </c>
      <c r="D117" s="18" t="n">
        <v>0</v>
      </c>
      <c r="E117" s="18" t="n">
        <v>0.2</v>
      </c>
      <c r="F117" s="5" t="inlineStr"/>
      <c r="G117" s="10">
        <f>IF(OR(C117&lt;D117,C117&gt;E117),1,0)</f>
        <v/>
      </c>
    </row>
    <row r="118">
      <c r="A118" s="5" t="inlineStr">
        <is>
          <t>Depreciation life (declining balance on opening NBV)</t>
        </is>
      </c>
      <c r="B118" s="2" t="inlineStr">
        <is>
          <t>months</t>
        </is>
      </c>
      <c r="C118" s="22" t="n">
        <v>48</v>
      </c>
      <c r="D118" s="20" t="n">
        <v>6</v>
      </c>
      <c r="E118" s="20" t="n">
        <v>120</v>
      </c>
      <c r="F118" s="5" t="inlineStr">
        <is>
          <t>Depreciation = opening NBV / life.</t>
        </is>
      </c>
      <c r="G118" s="10">
        <f>IF(OR(C118&lt;D118,C118&gt;E118),1,0)</f>
        <v/>
      </c>
    </row>
    <row r="119">
      <c r="A119" s="5" t="inlineStr">
        <is>
          <t>Interest rate earned on cash</t>
        </is>
      </c>
      <c r="B119" s="2" t="inlineStr">
        <is>
          <t>% p.a.</t>
        </is>
      </c>
      <c r="C119" s="24" t="n">
        <v>0.035</v>
      </c>
      <c r="D119" s="18" t="n">
        <v>0</v>
      </c>
      <c r="E119" s="18" t="n">
        <v>0.15</v>
      </c>
      <c r="F119" s="5" t="inlineStr">
        <is>
          <t>Applied to PRIOR-period cash: avoids circularity.</t>
        </is>
      </c>
      <c r="G119" s="10">
        <f>IF(OR(C119&lt;D119,C119&gt;E119),1,0)</f>
        <v/>
      </c>
    </row>
    <row r="120">
      <c r="A120" s="5" t="inlineStr">
        <is>
          <t>Corporation tax rate</t>
        </is>
      </c>
      <c r="B120" s="2" t="inlineStr">
        <is>
          <t>%</t>
        </is>
      </c>
      <c r="C120" s="24" t="n">
        <v>0.25</v>
      </c>
      <c r="D120" s="18" t="n">
        <v>0</v>
      </c>
      <c r="E120" s="18" t="n">
        <v>0.5</v>
      </c>
      <c r="F120" s="5" t="inlineStr">
        <is>
          <t>Charged on positive profit before tax only. No loss carry-forward in the MVP.</t>
        </is>
      </c>
      <c r="G120" s="10">
        <f>IF(OR(C120&lt;D120,C120&gt;E120),1,0)</f>
        <v/>
      </c>
    </row>
    <row r="121">
      <c r="A121" s="5" t="inlineStr">
        <is>
          <t>Supplier payment terms (DPO)</t>
        </is>
      </c>
      <c r="B121" s="2" t="inlineStr">
        <is>
          <t>days</t>
        </is>
      </c>
      <c r="C121" s="22" t="n">
        <v>30</v>
      </c>
      <c r="D121" s="20" t="n">
        <v>0</v>
      </c>
      <c r="E121" s="20" t="n">
        <v>30</v>
      </c>
      <c r="F121" s="5" t="inlineStr">
        <is>
          <t>Payables = non-payroll spend x DPO / 30 (valid 0-30).</t>
        </is>
      </c>
      <c r="G121" s="10">
        <f>IF(OR(C121&lt;D121,C121&gt;E121),1,0)</f>
        <v/>
      </c>
    </row>
  </sheetData>
  <dataValidations count="80">
    <dataValidation sqref="C4" showDropDown="0" showInputMessage="0" showErrorMessage="0" allowBlank="0" type="list">
      <formula1>"Base,Upside,Downside,Custom"</formula1>
    </dataValidation>
    <dataValidation sqref="C30" showDropDown="0" showInputMessage="0" showErrorMessage="1" allowBlank="0" errorTitle="Out of range" error="Enter a value between 0 and 200000." type="decimal" operator="between">
      <formula1>0</formula1>
      <formula2>200000</formula2>
    </dataValidation>
    <dataValidation sqref="C31" showDropDown="0" showInputMessage="0" showErrorMessage="1" allowBlank="0" errorTitle="Out of range" error="Enter a value between 0 and 200000." type="decimal" operator="between">
      <formula1>0</formula1>
      <formula2>200000</formula2>
    </dataValidation>
    <dataValidation sqref="C32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33" showDropDown="0" showInputMessage="0" showErrorMessage="1" allowBlank="0" errorTitle="Out of range" error="Enter a value between 0 and 20000." type="decimal" operator="between">
      <formula1>0</formula1>
      <formula2>20000</formula2>
    </dataValidation>
    <dataValidation sqref="C34" showDropDown="0" showInputMessage="0" showErrorMessage="1" allowBlank="0" errorTitle="Out of range" error="Enter a value between 0 and 500000." type="decimal" operator="between">
      <formula1>0</formula1>
      <formula2>500000</formula2>
    </dataValidation>
    <dataValidation sqref="C35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36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37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38" showDropDown="0" showInputMessage="0" showErrorMessage="1" allowBlank="0" errorTitle="Out of range" error="Enter a value between 0 and 10000." type="decimal" operator="between">
      <formula1>0</formula1>
      <formula2>10000</formula2>
    </dataValidation>
    <dataValidation sqref="C40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1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2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3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4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5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6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7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8" showDropDown="0" showInputMessage="0" showErrorMessage="1" allowBlank="0" errorTitle="Out of range" error="Enter a value between 0 and 0.15." type="decimal" operator="between">
      <formula1>0</formula1>
      <formula2>0.15</formula2>
    </dataValidation>
    <dataValidation sqref="C50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51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52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53" showDropDown="0" showInputMessage="0" showErrorMessage="1" allowBlank="0" errorTitle="Out of range" error="Enter a value between 0 and 0.3." type="decimal" operator="between">
      <formula1>0</formula1>
      <formula2>0.3</formula2>
    </dataValidation>
    <dataValidation sqref="C54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55" showDropDown="0" showInputMessage="0" showErrorMessage="1" allowBlank="0" errorTitle="Out of range" error="Enter a value between 6 and 120." type="decimal" operator="between">
      <formula1>6</formula1>
      <formula2>120</formula2>
    </dataValidation>
    <dataValidation sqref="C56" showDropDown="0" showInputMessage="0" showErrorMessage="1" allowBlank="0" errorTitle="Out of range" error="Enter a value between 0 and 50000." type="decimal" operator="between">
      <formula1>0</formula1>
      <formula2>50000</formula2>
    </dataValidation>
    <dataValidation sqref="C57" showDropDown="0" showInputMessage="0" showErrorMessage="1" allowBlank="0" errorTitle="Out of range" error="Enter a value between 0 and 10." type="decimal" operator="between">
      <formula1>0</formula1>
      <formula2>10</formula2>
    </dataValidation>
    <dataValidation sqref="C58" showDropDown="0" showInputMessage="0" showErrorMessage="1" allowBlank="0" errorTitle="Out of range" error="Enter a value between 0 and 5." type="decimal" operator="between">
      <formula1>0</formula1>
      <formula2>5</formula2>
    </dataValidation>
    <dataValidation sqref="C59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60" showDropDown="0" showInputMessage="0" showErrorMessage="1" allowBlank="0" errorTitle="Out of range" error="Enter a value between 0 and 0.5." type="decimal" operator="between">
      <formula1>0</formula1>
      <formula2>0.5</formula2>
    </dataValidation>
    <dataValidation sqref="C61" showDropDown="0" showInputMessage="0" showErrorMessage="1" allowBlank="0" errorTitle="Out of range" error="Enter a value between 0 and 1.5." type="decimal" operator="between">
      <formula1>0</formula1>
      <formula2>1.5</formula2>
    </dataValidation>
    <dataValidation sqref="C68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69" showDropDown="0" showInputMessage="0" showErrorMessage="1" allowBlank="0" errorTitle="Out of range" error="Enter a value between 1 and 12." type="decimal" operator="between">
      <formula1>1</formula1>
      <formula2>12</formula2>
    </dataValidation>
    <dataValidation sqref="C70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71" showDropDown="0" showInputMessage="0" showErrorMessage="1" allowBlank="0" errorTitle="Out of range" error="Enter a value between 0 and 0.25." type="decimal" operator="between">
      <formula1>0</formula1>
      <formula2>0.25</formula2>
    </dataValidation>
    <dataValidation sqref="C72" showDropDown="0" showInputMessage="0" showErrorMessage="1" allowBlank="0" errorTitle="Out of range" error="Enter a value between 0 and 0.1." type="decimal" operator="between">
      <formula1>0</formula1>
      <formula2>0.1</formula2>
    </dataValidation>
    <dataValidation sqref="C73" showDropDown="0" showInputMessage="0" showErrorMessage="1" allowBlank="0" errorTitle="Out of range" error="Enter a value between 0 and 20000." type="decimal" operator="between">
      <formula1>0</formula1>
      <formula2>20000</formula2>
    </dataValidation>
    <dataValidation sqref="C74" showDropDown="0" showInputMessage="0" showErrorMessage="1" allowBlank="0" errorTitle="Out of range" error="Enter a value between 1 and 24." type="decimal" operator="between">
      <formula1>1</formula1>
      <formula2>24</formula2>
    </dataValidation>
    <dataValidation sqref="C75" showDropDown="0" showInputMessage="0" showErrorMessage="1" allowBlank="0" errorTitle="Out of range" error="Enter a value between 0 and 10." type="decimal" operator="between">
      <formula1>0</formula1>
      <formula2>10</formula2>
    </dataValidation>
    <dataValidation sqref="C76" showDropDown="0" showInputMessage="0" showErrorMessage="1" allowBlank="0" errorTitle="Out of range" error="Enter a value between 0 and 500." type="decimal" operator="between">
      <formula1>0</formula1>
      <formula2>500</formula2>
    </dataValidation>
    <dataValidation sqref="C77" showDropDown="0" showInputMessage="0" showErrorMessage="1" allowBlank="0" errorTitle="Out of range" error="Enter a value between 1 and 24." type="decimal" operator="between">
      <formula1>1</formula1>
      <formula2>24</formula2>
    </dataValidation>
    <dataValidation sqref="C78" showDropDown="0" showInputMessage="0" showErrorMessage="1" allowBlank="0" errorTitle="Out of range" error="Enter a value between 1 and 24." type="decimal" operator="between">
      <formula1>1</formula1>
      <formula2>24</formula2>
    </dataValidation>
    <dataValidation sqref="C79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80" showDropDown="0" showInputMessage="0" showErrorMessage="1" allowBlank="0" errorTitle="Out of range" error="Enter a value between 0 and 20000." type="decimal" operator="between">
      <formula1>0</formula1>
      <formula2>20000</formula2>
    </dataValidation>
    <dataValidation sqref="C81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83" showDropDown="0" showInputMessage="0" showErrorMessage="1" allowBlank="0" errorTitle="Out of range" error="Enter a value between 0 and 0.8." type="decimal" operator="between">
      <formula1>0</formula1>
      <formula2>0.8</formula2>
    </dataValidation>
    <dataValidation sqref="C84" showDropDown="0" showInputMessage="0" showErrorMessage="1" allowBlank="0" errorTitle="Out of range" error="Enter a value between 0 and 0.7." type="decimal" operator="between">
      <formula1>0</formula1>
      <formula2>0.7</formula2>
    </dataValidation>
    <dataValidation sqref="C85" showDropDown="0" showInputMessage="0" showErrorMessage="1" allowBlank="0" errorTitle="Out of range" error="Enter a value between 0 and 0.5." type="decimal" operator="between">
      <formula1>0</formula1>
      <formula2>0.5</formula2>
    </dataValidation>
    <dataValidation sqref="C86" showDropDown="0" showInputMessage="0" showErrorMessage="1" allowBlank="0" errorTitle="Out of range" error="Enter a value between 24 and 240." type="decimal" operator="between">
      <formula1>24</formula1>
      <formula2>240</formula2>
    </dataValidation>
    <dataValidation sqref="C87" showDropDown="0" showInputMessage="0" showErrorMessage="1" allowBlank="0" errorTitle="Out of range" error="Enter a value between 24 and 240." type="decimal" operator="between">
      <formula1>24</formula1>
      <formula2>240</formula2>
    </dataValidation>
    <dataValidation sqref="C89" showDropDown="0" showInputMessage="0" showErrorMessage="1" allowBlank="0" errorTitle="Out of range" error="Enter a value between 0.05 and 0.25." type="decimal" operator="between">
      <formula1>0.05</formula1>
      <formula2>0.25</formula2>
    </dataValidation>
    <dataValidation sqref="C90" showDropDown="0" showInputMessage="0" showErrorMessage="1" allowBlank="0" errorTitle="Out of range" error="Enter a value between 0 and 0.06." type="decimal" operator="between">
      <formula1>0</formula1>
      <formula2>0.06</formula2>
    </dataValidation>
    <dataValidation sqref="C91" showDropDown="0" showInputMessage="0" showErrorMessage="1" allowBlank="0" errorTitle="Out of range" error="Enter a value between 0 and 0.05." type="decimal" operator="between">
      <formula1>0</formula1>
      <formula2>0.05</formula2>
    </dataValidation>
    <dataValidation sqref="C92" showDropDown="0" showInputMessage="0" showErrorMessage="1" allowBlank="0" errorTitle="Out of range" error="Enter a value between 0 and 0.02." type="decimal" operator="between">
      <formula1>0</formula1>
      <formula2>0.02</formula2>
    </dataValidation>
    <dataValidation sqref="C93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95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96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97" showDropDown="0" showInputMessage="0" showErrorMessage="1" allowBlank="0" errorTitle="Out of range" error="Enter a value between 1 and 500." type="decimal" operator="between">
      <formula1>1</formula1>
      <formula2>500</formula2>
    </dataValidation>
    <dataValidation sqref="C98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99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0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1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2" showDropDown="0" showInputMessage="0" showErrorMessage="1" allowBlank="0" errorTitle="Out of range" error="Enter a value between 0 and 90." type="decimal" operator="between">
      <formula1>0</formula1>
      <formula2>90</formula2>
    </dataValidation>
    <dataValidation sqref="C103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4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105" showDropDown="0" showInputMessage="0" showErrorMessage="1" allowBlank="0" errorTitle="Out of range" error="Enter a value between 6 and 120." type="decimal" operator="between">
      <formula1>6</formula1>
      <formula2>120</formula2>
    </dataValidation>
    <dataValidation sqref="C106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107" showDropDown="0" showInputMessage="0" showErrorMessage="1" allowBlank="0" errorTitle="Out of range" error="Enter a value between 0 and 50000." type="decimal" operator="between">
      <formula1>0</formula1>
      <formula2>50000</formula2>
    </dataValidation>
    <dataValidation sqref="C108" showDropDown="0" showInputMessage="0" showErrorMessage="1" allowBlank="0" errorTitle="Out of range" error="Enter a value between 0 and 50000." type="decimal" operator="between">
      <formula1>0</formula1>
      <formula2>50000</formula2>
    </dataValidation>
    <dataValidation sqref="C110" showDropDown="0" showInputMessage="0" showErrorMessage="1" allowBlank="0" errorTitle="Out of range" error="Enter a value between -0.2 and 0.6." type="decimal" operator="between">
      <formula1>-0.2</formula1>
      <formula2>0.6</formula2>
    </dataValidation>
    <dataValidation sqref="C111" showDropDown="0" showInputMessage="0" showErrorMessage="1" allowBlank="0" errorTitle="Out of range" error="Enter a value between -0.05 and 0.05." type="decimal" operator="between">
      <formula1>-0.05</formula1>
      <formula2>0.05</formula2>
    </dataValidation>
    <dataValidation sqref="C112" showDropDown="0" showInputMessage="0" showErrorMessage="1" allowBlank="0" errorTitle="Out of range" error="Enter a value between -0.05 and 0.05." type="decimal" operator="between">
      <formula1>-0.05</formula1>
      <formula2>0.05</formula2>
    </dataValidation>
    <dataValidation sqref="C113" showDropDown="0" showInputMessage="0" showErrorMessage="1" allowBlank="0" errorTitle="Out of range" error="Enter a value between -0.05 and 0.1." type="decimal" operator="between">
      <formula1>-0.05</formula1>
      <formula2>0.1</formula2>
    </dataValidation>
    <dataValidation sqref="C114" showDropDown="0" showInputMessage="0" showErrorMessage="1" allowBlank="0" errorTitle="Out of range" error="Enter a value between -0.05 and 0.1." type="decimal" operator="between">
      <formula1>-0.05</formula1>
      <formula2>0.1</formula2>
    </dataValidation>
    <dataValidation sqref="C115" showDropDown="0" showInputMessage="0" showErrorMessage="1" allowBlank="0" errorTitle="Out of range" error="Enter a value between -0.05 and 0.1." type="decimal" operator="between">
      <formula1>-0.05</formula1>
      <formula2>0.1</formula2>
    </dataValidation>
    <dataValidation sqref="C117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118" showDropDown="0" showInputMessage="0" showErrorMessage="1" allowBlank="0" errorTitle="Out of range" error="Enter a value between 6 and 120." type="decimal" operator="between">
      <formula1>6</formula1>
      <formula2>120</formula2>
    </dataValidation>
    <dataValidation sqref="C119" showDropDown="0" showInputMessage="0" showErrorMessage="1" allowBlank="0" errorTitle="Out of range" error="Enter a value between 0 and 0.15." type="decimal" operator="between">
      <formula1>0</formula1>
      <formula2>0.15</formula2>
    </dataValidation>
    <dataValidation sqref="C120" showDropDown="0" showInputMessage="0" showErrorMessage="1" allowBlank="0" errorTitle="Out of range" error="Enter a value between 0 and 0.5." type="decimal" operator="between">
      <formula1>0</formula1>
      <formula2>0.5</formula2>
    </dataValidation>
    <dataValidation sqref="C121" showDropDown="0" showInputMessage="0" showErrorMessage="1" allowBlank="0" errorTitle="Out of range" error="Enter a value between 0 and 30." type="decimal" operator="between">
      <formula1>0</formula1>
      <formula2>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Inputs_Scenarios - scenario values for every scenario-driven input</t>
        </is>
      </c>
    </row>
    <row r="2">
      <c r="A2" s="2" t="inlineStr">
        <is>
          <t>Blue cells are inputs. The live column on Inputs_Drivers picks one of these columns via the selector.</t>
        </is>
      </c>
    </row>
    <row r="4">
      <c r="A4" s="11" t="inlineStr">
        <is>
          <t>Driver</t>
        </is>
      </c>
      <c r="B4" s="11" t="inlineStr">
        <is>
          <t>Unit</t>
        </is>
      </c>
      <c r="C4" s="12" t="inlineStr">
        <is>
          <t>Base</t>
        </is>
      </c>
      <c r="D4" s="12" t="inlineStr">
        <is>
          <t>Upside</t>
        </is>
      </c>
      <c r="E4" s="12" t="inlineStr">
        <is>
          <t>Downside</t>
        </is>
      </c>
      <c r="F4" s="12" t="inlineStr">
        <is>
          <t>Custom</t>
        </is>
      </c>
    </row>
    <row r="5">
      <c r="A5" s="13" t="inlineStr">
        <is>
          <t>Growth</t>
        </is>
      </c>
      <c r="B5" s="14" t="n"/>
      <c r="C5" s="14" t="n"/>
      <c r="D5" s="14" t="n"/>
      <c r="E5" s="14" t="n"/>
      <c r="F5" s="14" t="n"/>
    </row>
    <row r="6">
      <c r="A6" s="5" t="inlineStr">
        <is>
          <t>New Enterprise logos per month</t>
        </is>
      </c>
      <c r="B6" s="2" t="inlineStr">
        <is>
          <t>#/mo</t>
        </is>
      </c>
      <c r="C6" s="23" t="n">
        <v>3</v>
      </c>
      <c r="D6" s="23" t="n">
        <v>3.6</v>
      </c>
      <c r="E6" s="23" t="n">
        <v>2.2</v>
      </c>
      <c r="F6" s="23" t="n">
        <v>3</v>
      </c>
    </row>
    <row r="7">
      <c r="A7" s="5" t="inlineStr">
        <is>
          <t>New Mid-market logos per month</t>
        </is>
      </c>
      <c r="B7" s="2" t="inlineStr">
        <is>
          <t>#/mo</t>
        </is>
      </c>
      <c r="C7" s="23" t="n">
        <v>14</v>
      </c>
      <c r="D7" s="23" t="n">
        <v>16</v>
      </c>
      <c r="E7" s="23" t="n">
        <v>10</v>
      </c>
      <c r="F7" s="23" t="n">
        <v>14</v>
      </c>
    </row>
    <row r="8">
      <c r="A8" s="5" t="inlineStr">
        <is>
          <t>Annual growth in new-logo volume</t>
        </is>
      </c>
      <c r="B8" s="2" t="inlineStr">
        <is>
          <t>% p.a.</t>
        </is>
      </c>
      <c r="C8" s="24" t="n">
        <v>0.05</v>
      </c>
      <c r="D8" s="24" t="n">
        <v>0.1</v>
      </c>
      <c r="E8" s="24" t="n">
        <v>0</v>
      </c>
      <c r="F8" s="24" t="n">
        <v>0.05</v>
      </c>
    </row>
    <row r="9">
      <c r="A9" s="13" t="inlineStr">
        <is>
          <t>Pricing</t>
        </is>
      </c>
      <c r="B9" s="14" t="n"/>
      <c r="C9" s="14" t="n"/>
      <c r="D9" s="14" t="n"/>
      <c r="E9" s="14" t="n"/>
      <c r="F9" s="14" t="n"/>
    </row>
    <row r="10">
      <c r="A10" s="5" t="inlineStr">
        <is>
          <t>Enterprise ACV (new logos)</t>
        </is>
      </c>
      <c r="B10" s="2" t="inlineStr">
        <is>
          <t>GBP k</t>
        </is>
      </c>
      <c r="C10" s="23" t="n">
        <v>210</v>
      </c>
      <c r="D10" s="23" t="n">
        <v>220</v>
      </c>
      <c r="E10" s="23" t="n">
        <v>195</v>
      </c>
      <c r="F10" s="23" t="n">
        <v>210</v>
      </c>
    </row>
    <row r="11">
      <c r="A11" s="5" t="inlineStr">
        <is>
          <t>Mid-market ACV (new logos)</t>
        </is>
      </c>
      <c r="B11" s="2" t="inlineStr">
        <is>
          <t>GBP k</t>
        </is>
      </c>
      <c r="C11" s="23" t="n">
        <v>26</v>
      </c>
      <c r="D11" s="23" t="n">
        <v>27</v>
      </c>
      <c r="E11" s="23" t="n">
        <v>23</v>
      </c>
      <c r="F11" s="23" t="n">
        <v>26</v>
      </c>
    </row>
    <row r="12">
      <c r="A12" s="5" t="inlineStr">
        <is>
          <t>Annual price uplift on new-logo ACV</t>
        </is>
      </c>
      <c r="B12" s="2" t="inlineStr">
        <is>
          <t>% p.a.</t>
        </is>
      </c>
      <c r="C12" s="24" t="n">
        <v>0.03</v>
      </c>
      <c r="D12" s="24" t="n">
        <v>0.04</v>
      </c>
      <c r="E12" s="24" t="n">
        <v>0.01</v>
      </c>
      <c r="F12" s="24" t="n">
        <v>0.03</v>
      </c>
    </row>
    <row r="13">
      <c r="A13" s="13" t="inlineStr">
        <is>
          <t>Retention</t>
        </is>
      </c>
      <c r="B13" s="14" t="n"/>
      <c r="C13" s="14" t="n"/>
      <c r="D13" s="14" t="n"/>
      <c r="E13" s="14" t="n"/>
      <c r="F13" s="14" t="n"/>
    </row>
    <row r="14">
      <c r="A14" s="5" t="inlineStr">
        <is>
          <t>Enterprise annual expansion</t>
        </is>
      </c>
      <c r="B14" s="2" t="inlineStr">
        <is>
          <t>% of ARR</t>
        </is>
      </c>
      <c r="C14" s="24" t="n">
        <v>0.14</v>
      </c>
      <c r="D14" s="24" t="n">
        <v>0.17</v>
      </c>
      <c r="E14" s="24" t="n">
        <v>0.09</v>
      </c>
      <c r="F14" s="24" t="n">
        <v>0.14</v>
      </c>
    </row>
    <row r="15">
      <c r="A15" s="5" t="inlineStr">
        <is>
          <t>Mid-market annual expansion</t>
        </is>
      </c>
      <c r="B15" s="2" t="inlineStr">
        <is>
          <t>% of ARR</t>
        </is>
      </c>
      <c r="C15" s="24" t="n">
        <v>0.07000000000000001</v>
      </c>
      <c r="D15" s="24" t="n">
        <v>0.09</v>
      </c>
      <c r="E15" s="24" t="n">
        <v>0.04</v>
      </c>
      <c r="F15" s="24" t="n">
        <v>0.07000000000000001</v>
      </c>
    </row>
    <row r="16">
      <c r="A16" s="5" t="inlineStr">
        <is>
          <t>Enterprise annual gross churn</t>
        </is>
      </c>
      <c r="B16" s="2" t="inlineStr">
        <is>
          <t>% of ARR</t>
        </is>
      </c>
      <c r="C16" s="24" t="n">
        <v>0.06</v>
      </c>
      <c r="D16" s="24" t="n">
        <v>0.05</v>
      </c>
      <c r="E16" s="24" t="n">
        <v>0.1</v>
      </c>
      <c r="F16" s="24" t="n">
        <v>0.06</v>
      </c>
    </row>
    <row r="17">
      <c r="A17" s="5" t="inlineStr">
        <is>
          <t>Mid-market annual gross churn</t>
        </is>
      </c>
      <c r="B17" s="2" t="inlineStr">
        <is>
          <t>% of ARR</t>
        </is>
      </c>
      <c r="C17" s="24" t="n">
        <v>0.12</v>
      </c>
      <c r="D17" s="24" t="n">
        <v>0.1</v>
      </c>
      <c r="E17" s="24" t="n">
        <v>0.18</v>
      </c>
      <c r="F17" s="24" t="n">
        <v>0.12</v>
      </c>
    </row>
    <row r="18">
      <c r="A18" s="13" t="inlineStr">
        <is>
          <t>People (hiring plan)</t>
        </is>
      </c>
      <c r="B18" s="14" t="n"/>
      <c r="C18" s="14" t="n"/>
      <c r="D18" s="14" t="n"/>
      <c r="E18" s="14" t="n"/>
      <c r="F18" s="14" t="n"/>
    </row>
    <row r="19">
      <c r="A19" s="5" t="inlineStr">
        <is>
          <t>R&amp;D net hires per month</t>
        </is>
      </c>
      <c r="B19" s="2" t="inlineStr">
        <is>
          <t>FTE/mo</t>
        </is>
      </c>
      <c r="C19" s="23" t="n">
        <v>2.5</v>
      </c>
      <c r="D19" s="23" t="n">
        <v>3</v>
      </c>
      <c r="E19" s="23" t="n">
        <v>1</v>
      </c>
      <c r="F19" s="23" t="n">
        <v>2.5</v>
      </c>
    </row>
    <row r="20">
      <c r="A20" s="5" t="inlineStr">
        <is>
          <t>Sales &amp; Marketing net hires per month</t>
        </is>
      </c>
      <c r="B20" s="2" t="inlineStr">
        <is>
          <t>FTE/mo</t>
        </is>
      </c>
      <c r="C20" s="23" t="n">
        <v>3</v>
      </c>
      <c r="D20" s="23" t="n">
        <v>4</v>
      </c>
      <c r="E20" s="23" t="n">
        <v>1</v>
      </c>
      <c r="F20" s="23" t="n">
        <v>3</v>
      </c>
    </row>
    <row r="21">
      <c r="A21" s="5" t="inlineStr">
        <is>
          <t>G&amp;A net hires per month</t>
        </is>
      </c>
      <c r="B21" s="2" t="inlineStr">
        <is>
          <t>FTE/mo</t>
        </is>
      </c>
      <c r="C21" s="23" t="n">
        <v>0.8</v>
      </c>
      <c r="D21" s="23" t="n">
        <v>1</v>
      </c>
      <c r="E21" s="23" t="n">
        <v>0.3</v>
      </c>
      <c r="F21" s="23" t="n">
        <v>0.8</v>
      </c>
    </row>
    <row r="22">
      <c r="A22" s="5" t="inlineStr">
        <is>
          <t>Customer Success net hires per month</t>
        </is>
      </c>
      <c r="B22" s="2" t="inlineStr">
        <is>
          <t>FTE/mo</t>
        </is>
      </c>
      <c r="C22" s="23" t="n">
        <v>1.5</v>
      </c>
      <c r="D22" s="23" t="n">
        <v>2</v>
      </c>
      <c r="E22" s="23" t="n">
        <v>0.8</v>
      </c>
      <c r="F22" s="23" t="n">
        <v>1.5</v>
      </c>
    </row>
    <row r="23">
      <c r="A23" s="13" t="inlineStr">
        <is>
          <t>Cash</t>
        </is>
      </c>
      <c r="B23" s="14" t="n"/>
      <c r="C23" s="14" t="n"/>
      <c r="D23" s="14" t="n"/>
      <c r="E23" s="14" t="n"/>
      <c r="F23" s="14" t="n"/>
    </row>
    <row r="24">
      <c r="A24" s="5" t="inlineStr">
        <is>
          <t>Customer payment terms (DSO)</t>
        </is>
      </c>
      <c r="B24" s="2" t="inlineStr">
        <is>
          <t>days</t>
        </is>
      </c>
      <c r="C24" s="22" t="n">
        <v>45</v>
      </c>
      <c r="D24" s="22" t="n">
        <v>40</v>
      </c>
      <c r="E24" s="22" t="n">
        <v>60</v>
      </c>
      <c r="F24" s="22" t="n">
        <v>45</v>
      </c>
    </row>
    <row r="25">
      <c r="A25" s="13" t="inlineStr">
        <is>
          <t>Acquisition: Vaultline scenario drivers</t>
        </is>
      </c>
      <c r="B25" s="14" t="n"/>
      <c r="C25" s="14" t="n"/>
      <c r="D25" s="14" t="n"/>
      <c r="E25" s="14" t="n"/>
      <c r="F25" s="14" t="n"/>
    </row>
    <row r="26">
      <c r="A26" s="5" t="inlineStr">
        <is>
          <t>Vaultline new logos per month</t>
        </is>
      </c>
      <c r="B26" s="2" t="inlineStr">
        <is>
          <t>#/mo</t>
        </is>
      </c>
      <c r="C26" s="23" t="n">
        <v>1.6</v>
      </c>
      <c r="D26" s="23" t="n">
        <v>2</v>
      </c>
      <c r="E26" s="23" t="n">
        <v>1</v>
      </c>
      <c r="F26" s="23" t="n">
        <v>1.6</v>
      </c>
    </row>
    <row r="27">
      <c r="A27" s="5" t="inlineStr">
        <is>
          <t>Vaultline annual expansion</t>
        </is>
      </c>
      <c r="B27" s="2" t="inlineStr">
        <is>
          <t>% of ARR</t>
        </is>
      </c>
      <c r="C27" s="24" t="n">
        <v>0.08</v>
      </c>
      <c r="D27" s="24" t="n">
        <v>0.1</v>
      </c>
      <c r="E27" s="24" t="n">
        <v>0.05</v>
      </c>
      <c r="F27" s="24" t="n">
        <v>0.08</v>
      </c>
    </row>
    <row r="28">
      <c r="A28" s="5" t="inlineStr">
        <is>
          <t>Vaultline annual gross churn</t>
        </is>
      </c>
      <c r="B28" s="2" t="inlineStr">
        <is>
          <t>% of ARR</t>
        </is>
      </c>
      <c r="C28" s="24" t="n">
        <v>0.06</v>
      </c>
      <c r="D28" s="24" t="n">
        <v>0.05</v>
      </c>
      <c r="E28" s="24" t="n">
        <v>0.12</v>
      </c>
      <c r="F28" s="24" t="n">
        <v>0.06</v>
      </c>
    </row>
    <row r="29">
      <c r="A29" s="5" t="inlineStr">
        <is>
          <t>Synergies achieved</t>
        </is>
      </c>
      <c r="B29" s="2" t="inlineStr">
        <is>
          <t>% of plan</t>
        </is>
      </c>
      <c r="C29" s="24" t="n">
        <v>1</v>
      </c>
      <c r="D29" s="24" t="n">
        <v>1.2</v>
      </c>
      <c r="E29" s="24" t="n">
        <v>0.4</v>
      </c>
      <c r="F29" s="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Rev_Build - ARR waterfall and customers by segment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Volume and price drivers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ACV price factor</t>
        </is>
      </c>
      <c r="B9" s="2" t="inlineStr">
        <is>
          <t>x</t>
        </is>
      </c>
      <c r="O9" s="33">
        <f>(1+inp_price_uplift)^(O$5-1)</f>
        <v/>
      </c>
      <c r="P9" s="33">
        <f>(1+inp_price_uplift)^(P$5-1)</f>
        <v/>
      </c>
      <c r="Q9" s="33">
        <f>(1+inp_price_uplift)^(Q$5-1)</f>
        <v/>
      </c>
      <c r="R9" s="33">
        <f>(1+inp_price_uplift)^(R$5-1)</f>
        <v/>
      </c>
      <c r="S9" s="33">
        <f>(1+inp_price_uplift)^(S$5-1)</f>
        <v/>
      </c>
      <c r="T9" s="33">
        <f>(1+inp_price_uplift)^(T$5-1)</f>
        <v/>
      </c>
      <c r="U9" s="33">
        <f>(1+inp_price_uplift)^(U$5-1)</f>
        <v/>
      </c>
      <c r="V9" s="33">
        <f>(1+inp_price_uplift)^(V$5-1)</f>
        <v/>
      </c>
      <c r="W9" s="33">
        <f>(1+inp_price_uplift)^(W$5-1)</f>
        <v/>
      </c>
      <c r="X9" s="33">
        <f>(1+inp_price_uplift)^(X$5-1)</f>
        <v/>
      </c>
      <c r="Y9" s="33">
        <f>(1+inp_price_uplift)^(Y$5-1)</f>
        <v/>
      </c>
      <c r="Z9" s="33">
        <f>(1+inp_price_uplift)^(Z$5-1)</f>
        <v/>
      </c>
      <c r="AA9" s="33">
        <f>(1+inp_price_uplift)^(AA$5-1)</f>
        <v/>
      </c>
      <c r="AB9" s="33">
        <f>(1+inp_price_uplift)^(AB$5-1)</f>
        <v/>
      </c>
      <c r="AC9" s="33">
        <f>(1+inp_price_uplift)^(AC$5-1)</f>
        <v/>
      </c>
      <c r="AD9" s="33">
        <f>(1+inp_price_uplift)^(AD$5-1)</f>
        <v/>
      </c>
      <c r="AE9" s="33">
        <f>(1+inp_price_uplift)^(AE$5-1)</f>
        <v/>
      </c>
      <c r="AF9" s="33">
        <f>(1+inp_price_uplift)^(AF$5-1)</f>
        <v/>
      </c>
      <c r="AG9" s="33">
        <f>(1+inp_price_uplift)^(AG$5-1)</f>
        <v/>
      </c>
      <c r="AH9" s="33">
        <f>(1+inp_price_uplift)^(AH$5-1)</f>
        <v/>
      </c>
      <c r="AI9" s="33">
        <f>(1+inp_price_uplift)^(AI$5-1)</f>
        <v/>
      </c>
      <c r="AJ9" s="33">
        <f>(1+inp_price_uplift)^(AJ$5-1)</f>
        <v/>
      </c>
      <c r="AK9" s="33">
        <f>(1+inp_price_uplift)^(AK$5-1)</f>
        <v/>
      </c>
      <c r="AL9" s="33">
        <f>(1+inp_price_uplift)^(AL$5-1)</f>
        <v/>
      </c>
      <c r="AN9" s="33">
        <f>INDEX($O9:$AL9,1,AN$5*12)</f>
        <v/>
      </c>
      <c r="AO9" s="33">
        <f>INDEX($O9:$AL9,1,AO$5*12)</f>
        <v/>
      </c>
    </row>
    <row r="10">
      <c r="A10" s="5" t="inlineStr">
        <is>
          <t>New-logo volume factor</t>
        </is>
      </c>
      <c r="B10" s="2" t="inlineStr">
        <is>
          <t>x</t>
        </is>
      </c>
      <c r="O10" s="33">
        <f>(1+inp_logo_growth)^((O$3-1)/12)</f>
        <v/>
      </c>
      <c r="P10" s="33">
        <f>(1+inp_logo_growth)^((P$3-1)/12)</f>
        <v/>
      </c>
      <c r="Q10" s="33">
        <f>(1+inp_logo_growth)^((Q$3-1)/12)</f>
        <v/>
      </c>
      <c r="R10" s="33">
        <f>(1+inp_logo_growth)^((R$3-1)/12)</f>
        <v/>
      </c>
      <c r="S10" s="33">
        <f>(1+inp_logo_growth)^((S$3-1)/12)</f>
        <v/>
      </c>
      <c r="T10" s="33">
        <f>(1+inp_logo_growth)^((T$3-1)/12)</f>
        <v/>
      </c>
      <c r="U10" s="33">
        <f>(1+inp_logo_growth)^((U$3-1)/12)</f>
        <v/>
      </c>
      <c r="V10" s="33">
        <f>(1+inp_logo_growth)^((V$3-1)/12)</f>
        <v/>
      </c>
      <c r="W10" s="33">
        <f>(1+inp_logo_growth)^((W$3-1)/12)</f>
        <v/>
      </c>
      <c r="X10" s="33">
        <f>(1+inp_logo_growth)^((X$3-1)/12)</f>
        <v/>
      </c>
      <c r="Y10" s="33">
        <f>(1+inp_logo_growth)^((Y$3-1)/12)</f>
        <v/>
      </c>
      <c r="Z10" s="33">
        <f>(1+inp_logo_growth)^((Z$3-1)/12)</f>
        <v/>
      </c>
      <c r="AA10" s="33">
        <f>(1+inp_logo_growth)^((AA$3-1)/12)</f>
        <v/>
      </c>
      <c r="AB10" s="33">
        <f>(1+inp_logo_growth)^((AB$3-1)/12)</f>
        <v/>
      </c>
      <c r="AC10" s="33">
        <f>(1+inp_logo_growth)^((AC$3-1)/12)</f>
        <v/>
      </c>
      <c r="AD10" s="33">
        <f>(1+inp_logo_growth)^((AD$3-1)/12)</f>
        <v/>
      </c>
      <c r="AE10" s="33">
        <f>(1+inp_logo_growth)^((AE$3-1)/12)</f>
        <v/>
      </c>
      <c r="AF10" s="33">
        <f>(1+inp_logo_growth)^((AF$3-1)/12)</f>
        <v/>
      </c>
      <c r="AG10" s="33">
        <f>(1+inp_logo_growth)^((AG$3-1)/12)</f>
        <v/>
      </c>
      <c r="AH10" s="33">
        <f>(1+inp_logo_growth)^((AH$3-1)/12)</f>
        <v/>
      </c>
      <c r="AI10" s="33">
        <f>(1+inp_logo_growth)^((AI$3-1)/12)</f>
        <v/>
      </c>
      <c r="AJ10" s="33">
        <f>(1+inp_logo_growth)^((AJ$3-1)/12)</f>
        <v/>
      </c>
      <c r="AK10" s="33">
        <f>(1+inp_logo_growth)^((AK$3-1)/12)</f>
        <v/>
      </c>
      <c r="AL10" s="33">
        <f>(1+inp_logo_growth)^((AL$3-1)/12)</f>
        <v/>
      </c>
      <c r="AN10" s="33">
        <f>INDEX($O10:$AL10,1,AN$5*12)</f>
        <v/>
      </c>
      <c r="AO10" s="33">
        <f>INDEX($O10:$AL10,1,AO$5*12)</f>
        <v/>
      </c>
    </row>
    <row r="11">
      <c r="A11" s="5" t="inlineStr">
        <is>
          <t>New logos - Enterprise</t>
        </is>
      </c>
      <c r="B11" s="2" t="inlineStr">
        <is>
          <t>#</t>
        </is>
      </c>
      <c r="O11" s="34">
        <f>inp_logos_ent*O10</f>
        <v/>
      </c>
      <c r="P11" s="34">
        <f>inp_logos_ent*P10</f>
        <v/>
      </c>
      <c r="Q11" s="34">
        <f>inp_logos_ent*Q10</f>
        <v/>
      </c>
      <c r="R11" s="34">
        <f>inp_logos_ent*R10</f>
        <v/>
      </c>
      <c r="S11" s="34">
        <f>inp_logos_ent*S10</f>
        <v/>
      </c>
      <c r="T11" s="34">
        <f>inp_logos_ent*T10</f>
        <v/>
      </c>
      <c r="U11" s="34">
        <f>inp_logos_ent*U10</f>
        <v/>
      </c>
      <c r="V11" s="34">
        <f>inp_logos_ent*V10</f>
        <v/>
      </c>
      <c r="W11" s="34">
        <f>inp_logos_ent*W10</f>
        <v/>
      </c>
      <c r="X11" s="34">
        <f>inp_logos_ent*X10</f>
        <v/>
      </c>
      <c r="Y11" s="34">
        <f>inp_logos_ent*Y10</f>
        <v/>
      </c>
      <c r="Z11" s="34">
        <f>inp_logos_ent*Z10</f>
        <v/>
      </c>
      <c r="AA11" s="34">
        <f>inp_logos_ent*AA10</f>
        <v/>
      </c>
      <c r="AB11" s="34">
        <f>inp_logos_ent*AB10</f>
        <v/>
      </c>
      <c r="AC11" s="34">
        <f>inp_logos_ent*AC10</f>
        <v/>
      </c>
      <c r="AD11" s="34">
        <f>inp_logos_ent*AD10</f>
        <v/>
      </c>
      <c r="AE11" s="34">
        <f>inp_logos_ent*AE10</f>
        <v/>
      </c>
      <c r="AF11" s="34">
        <f>inp_logos_ent*AF10</f>
        <v/>
      </c>
      <c r="AG11" s="34">
        <f>inp_logos_ent*AG10</f>
        <v/>
      </c>
      <c r="AH11" s="34">
        <f>inp_logos_ent*AH10</f>
        <v/>
      </c>
      <c r="AI11" s="34">
        <f>inp_logos_ent*AI10</f>
        <v/>
      </c>
      <c r="AJ11" s="34">
        <f>inp_logos_ent*AJ10</f>
        <v/>
      </c>
      <c r="AK11" s="34">
        <f>inp_logos_ent*AK10</f>
        <v/>
      </c>
      <c r="AL11" s="34">
        <f>inp_logos_ent*AL10</f>
        <v/>
      </c>
      <c r="AN11" s="34">
        <f>SUMIF($O$5:$AL$5,AN$5,$O11:$AL11)</f>
        <v/>
      </c>
      <c r="AO11" s="34">
        <f>SUMIF($O$5:$AL$5,AO$5,$O11:$AL11)</f>
        <v/>
      </c>
    </row>
    <row r="12">
      <c r="A12" s="5" t="inlineStr">
        <is>
          <t>ACV of new logos - Enterprise</t>
        </is>
      </c>
      <c r="B12" s="2" t="inlineStr">
        <is>
          <t>GBP k</t>
        </is>
      </c>
      <c r="O12" s="34">
        <f>inp_acv_ent*O9</f>
        <v/>
      </c>
      <c r="P12" s="34">
        <f>inp_acv_ent*P9</f>
        <v/>
      </c>
      <c r="Q12" s="34">
        <f>inp_acv_ent*Q9</f>
        <v/>
      </c>
      <c r="R12" s="34">
        <f>inp_acv_ent*R9</f>
        <v/>
      </c>
      <c r="S12" s="34">
        <f>inp_acv_ent*S9</f>
        <v/>
      </c>
      <c r="T12" s="34">
        <f>inp_acv_ent*T9</f>
        <v/>
      </c>
      <c r="U12" s="34">
        <f>inp_acv_ent*U9</f>
        <v/>
      </c>
      <c r="V12" s="34">
        <f>inp_acv_ent*V9</f>
        <v/>
      </c>
      <c r="W12" s="34">
        <f>inp_acv_ent*W9</f>
        <v/>
      </c>
      <c r="X12" s="34">
        <f>inp_acv_ent*X9</f>
        <v/>
      </c>
      <c r="Y12" s="34">
        <f>inp_acv_ent*Y9</f>
        <v/>
      </c>
      <c r="Z12" s="34">
        <f>inp_acv_ent*Z9</f>
        <v/>
      </c>
      <c r="AA12" s="34">
        <f>inp_acv_ent*AA9</f>
        <v/>
      </c>
      <c r="AB12" s="34">
        <f>inp_acv_ent*AB9</f>
        <v/>
      </c>
      <c r="AC12" s="34">
        <f>inp_acv_ent*AC9</f>
        <v/>
      </c>
      <c r="AD12" s="34">
        <f>inp_acv_ent*AD9</f>
        <v/>
      </c>
      <c r="AE12" s="34">
        <f>inp_acv_ent*AE9</f>
        <v/>
      </c>
      <c r="AF12" s="34">
        <f>inp_acv_ent*AF9</f>
        <v/>
      </c>
      <c r="AG12" s="34">
        <f>inp_acv_ent*AG9</f>
        <v/>
      </c>
      <c r="AH12" s="34">
        <f>inp_acv_ent*AH9</f>
        <v/>
      </c>
      <c r="AI12" s="34">
        <f>inp_acv_ent*AI9</f>
        <v/>
      </c>
      <c r="AJ12" s="34">
        <f>inp_acv_ent*AJ9</f>
        <v/>
      </c>
      <c r="AK12" s="34">
        <f>inp_acv_ent*AK9</f>
        <v/>
      </c>
      <c r="AL12" s="34">
        <f>inp_acv_ent*AL9</f>
        <v/>
      </c>
      <c r="AN12" s="34">
        <f>INDEX($O12:$AL12,1,AN$5*12)</f>
        <v/>
      </c>
      <c r="AO12" s="34">
        <f>INDEX($O12:$AL12,1,AO$5*12)</f>
        <v/>
      </c>
    </row>
    <row r="13">
      <c r="A13" s="5" t="inlineStr">
        <is>
          <t>Monthly gross churn rate - Enterprise</t>
        </is>
      </c>
      <c r="B13" s="2" t="inlineStr">
        <is>
          <t>%/mo</t>
        </is>
      </c>
      <c r="O13" s="35">
        <f>1-(1-inp_churn_ent)^(1/12)</f>
        <v/>
      </c>
      <c r="P13" s="35">
        <f>1-(1-inp_churn_ent)^(1/12)</f>
        <v/>
      </c>
      <c r="Q13" s="35">
        <f>1-(1-inp_churn_ent)^(1/12)</f>
        <v/>
      </c>
      <c r="R13" s="35">
        <f>1-(1-inp_churn_ent)^(1/12)</f>
        <v/>
      </c>
      <c r="S13" s="35">
        <f>1-(1-inp_churn_ent)^(1/12)</f>
        <v/>
      </c>
      <c r="T13" s="35">
        <f>1-(1-inp_churn_ent)^(1/12)</f>
        <v/>
      </c>
      <c r="U13" s="35">
        <f>1-(1-inp_churn_ent)^(1/12)</f>
        <v/>
      </c>
      <c r="V13" s="35">
        <f>1-(1-inp_churn_ent)^(1/12)</f>
        <v/>
      </c>
      <c r="W13" s="35">
        <f>1-(1-inp_churn_ent)^(1/12)</f>
        <v/>
      </c>
      <c r="X13" s="35">
        <f>1-(1-inp_churn_ent)^(1/12)</f>
        <v/>
      </c>
      <c r="Y13" s="35">
        <f>1-(1-inp_churn_ent)^(1/12)</f>
        <v/>
      </c>
      <c r="Z13" s="35">
        <f>1-(1-inp_churn_ent)^(1/12)</f>
        <v/>
      </c>
      <c r="AA13" s="35">
        <f>1-(1-inp_churn_ent)^(1/12)</f>
        <v/>
      </c>
      <c r="AB13" s="35">
        <f>1-(1-inp_churn_ent)^(1/12)</f>
        <v/>
      </c>
      <c r="AC13" s="35">
        <f>1-(1-inp_churn_ent)^(1/12)</f>
        <v/>
      </c>
      <c r="AD13" s="35">
        <f>1-(1-inp_churn_ent)^(1/12)</f>
        <v/>
      </c>
      <c r="AE13" s="35">
        <f>1-(1-inp_churn_ent)^(1/12)</f>
        <v/>
      </c>
      <c r="AF13" s="35">
        <f>1-(1-inp_churn_ent)^(1/12)</f>
        <v/>
      </c>
      <c r="AG13" s="35">
        <f>1-(1-inp_churn_ent)^(1/12)</f>
        <v/>
      </c>
      <c r="AH13" s="35">
        <f>1-(1-inp_churn_ent)^(1/12)</f>
        <v/>
      </c>
      <c r="AI13" s="35">
        <f>1-(1-inp_churn_ent)^(1/12)</f>
        <v/>
      </c>
      <c r="AJ13" s="35">
        <f>1-(1-inp_churn_ent)^(1/12)</f>
        <v/>
      </c>
      <c r="AK13" s="35">
        <f>1-(1-inp_churn_ent)^(1/12)</f>
        <v/>
      </c>
      <c r="AL13" s="35">
        <f>1-(1-inp_churn_ent)^(1/12)</f>
        <v/>
      </c>
      <c r="AN13" s="35">
        <f>INDEX($O13:$AL13,1,AN$5*12)</f>
        <v/>
      </c>
      <c r="AO13" s="35">
        <f>INDEX($O13:$AL13,1,AO$5*12)</f>
        <v/>
      </c>
    </row>
    <row r="14">
      <c r="A14" s="5" t="inlineStr">
        <is>
          <t>Monthly expansion rate - Enterprise</t>
        </is>
      </c>
      <c r="B14" s="2" t="inlineStr">
        <is>
          <t>%/mo</t>
        </is>
      </c>
      <c r="O14" s="35">
        <f>(1+inp_exp_ent)^(1/12)-1</f>
        <v/>
      </c>
      <c r="P14" s="35">
        <f>(1+inp_exp_ent)^(1/12)-1</f>
        <v/>
      </c>
      <c r="Q14" s="35">
        <f>(1+inp_exp_ent)^(1/12)-1</f>
        <v/>
      </c>
      <c r="R14" s="35">
        <f>(1+inp_exp_ent)^(1/12)-1</f>
        <v/>
      </c>
      <c r="S14" s="35">
        <f>(1+inp_exp_ent)^(1/12)-1</f>
        <v/>
      </c>
      <c r="T14" s="35">
        <f>(1+inp_exp_ent)^(1/12)-1</f>
        <v/>
      </c>
      <c r="U14" s="35">
        <f>(1+inp_exp_ent)^(1/12)-1</f>
        <v/>
      </c>
      <c r="V14" s="35">
        <f>(1+inp_exp_ent)^(1/12)-1</f>
        <v/>
      </c>
      <c r="W14" s="35">
        <f>(1+inp_exp_ent)^(1/12)-1</f>
        <v/>
      </c>
      <c r="X14" s="35">
        <f>(1+inp_exp_ent)^(1/12)-1</f>
        <v/>
      </c>
      <c r="Y14" s="35">
        <f>(1+inp_exp_ent)^(1/12)-1</f>
        <v/>
      </c>
      <c r="Z14" s="35">
        <f>(1+inp_exp_ent)^(1/12)-1</f>
        <v/>
      </c>
      <c r="AA14" s="35">
        <f>(1+inp_exp_ent)^(1/12)-1</f>
        <v/>
      </c>
      <c r="AB14" s="35">
        <f>(1+inp_exp_ent)^(1/12)-1</f>
        <v/>
      </c>
      <c r="AC14" s="35">
        <f>(1+inp_exp_ent)^(1/12)-1</f>
        <v/>
      </c>
      <c r="AD14" s="35">
        <f>(1+inp_exp_ent)^(1/12)-1</f>
        <v/>
      </c>
      <c r="AE14" s="35">
        <f>(1+inp_exp_ent)^(1/12)-1</f>
        <v/>
      </c>
      <c r="AF14" s="35">
        <f>(1+inp_exp_ent)^(1/12)-1</f>
        <v/>
      </c>
      <c r="AG14" s="35">
        <f>(1+inp_exp_ent)^(1/12)-1</f>
        <v/>
      </c>
      <c r="AH14" s="35">
        <f>(1+inp_exp_ent)^(1/12)-1</f>
        <v/>
      </c>
      <c r="AI14" s="35">
        <f>(1+inp_exp_ent)^(1/12)-1</f>
        <v/>
      </c>
      <c r="AJ14" s="35">
        <f>(1+inp_exp_ent)^(1/12)-1</f>
        <v/>
      </c>
      <c r="AK14" s="35">
        <f>(1+inp_exp_ent)^(1/12)-1</f>
        <v/>
      </c>
      <c r="AL14" s="35">
        <f>(1+inp_exp_ent)^(1/12)-1</f>
        <v/>
      </c>
      <c r="AN14" s="35">
        <f>INDEX($O14:$AL14,1,AN$5*12)</f>
        <v/>
      </c>
      <c r="AO14" s="35">
        <f>INDEX($O14:$AL14,1,AO$5*12)</f>
        <v/>
      </c>
    </row>
    <row r="15">
      <c r="A15" s="5" t="inlineStr">
        <is>
          <t>New logos - Mid-market</t>
        </is>
      </c>
      <c r="B15" s="2" t="inlineStr">
        <is>
          <t>#</t>
        </is>
      </c>
      <c r="O15" s="34">
        <f>inp_logos_mid*O10</f>
        <v/>
      </c>
      <c r="P15" s="34">
        <f>inp_logos_mid*P10</f>
        <v/>
      </c>
      <c r="Q15" s="34">
        <f>inp_logos_mid*Q10</f>
        <v/>
      </c>
      <c r="R15" s="34">
        <f>inp_logos_mid*R10</f>
        <v/>
      </c>
      <c r="S15" s="34">
        <f>inp_logos_mid*S10</f>
        <v/>
      </c>
      <c r="T15" s="34">
        <f>inp_logos_mid*T10</f>
        <v/>
      </c>
      <c r="U15" s="34">
        <f>inp_logos_mid*U10</f>
        <v/>
      </c>
      <c r="V15" s="34">
        <f>inp_logos_mid*V10</f>
        <v/>
      </c>
      <c r="W15" s="34">
        <f>inp_logos_mid*W10</f>
        <v/>
      </c>
      <c r="X15" s="34">
        <f>inp_logos_mid*X10</f>
        <v/>
      </c>
      <c r="Y15" s="34">
        <f>inp_logos_mid*Y10</f>
        <v/>
      </c>
      <c r="Z15" s="34">
        <f>inp_logos_mid*Z10</f>
        <v/>
      </c>
      <c r="AA15" s="34">
        <f>inp_logos_mid*AA10</f>
        <v/>
      </c>
      <c r="AB15" s="34">
        <f>inp_logos_mid*AB10</f>
        <v/>
      </c>
      <c r="AC15" s="34">
        <f>inp_logos_mid*AC10</f>
        <v/>
      </c>
      <c r="AD15" s="34">
        <f>inp_logos_mid*AD10</f>
        <v/>
      </c>
      <c r="AE15" s="34">
        <f>inp_logos_mid*AE10</f>
        <v/>
      </c>
      <c r="AF15" s="34">
        <f>inp_logos_mid*AF10</f>
        <v/>
      </c>
      <c r="AG15" s="34">
        <f>inp_logos_mid*AG10</f>
        <v/>
      </c>
      <c r="AH15" s="34">
        <f>inp_logos_mid*AH10</f>
        <v/>
      </c>
      <c r="AI15" s="34">
        <f>inp_logos_mid*AI10</f>
        <v/>
      </c>
      <c r="AJ15" s="34">
        <f>inp_logos_mid*AJ10</f>
        <v/>
      </c>
      <c r="AK15" s="34">
        <f>inp_logos_mid*AK10</f>
        <v/>
      </c>
      <c r="AL15" s="34">
        <f>inp_logos_mid*AL10</f>
        <v/>
      </c>
      <c r="AN15" s="34">
        <f>SUMIF($O$5:$AL$5,AN$5,$O15:$AL15)</f>
        <v/>
      </c>
      <c r="AO15" s="34">
        <f>SUMIF($O$5:$AL$5,AO$5,$O15:$AL15)</f>
        <v/>
      </c>
    </row>
    <row r="16">
      <c r="A16" s="5" t="inlineStr">
        <is>
          <t>ACV of new logos - Mid-market</t>
        </is>
      </c>
      <c r="B16" s="2" t="inlineStr">
        <is>
          <t>GBP k</t>
        </is>
      </c>
      <c r="O16" s="34">
        <f>inp_acv_mid*O9</f>
        <v/>
      </c>
      <c r="P16" s="34">
        <f>inp_acv_mid*P9</f>
        <v/>
      </c>
      <c r="Q16" s="34">
        <f>inp_acv_mid*Q9</f>
        <v/>
      </c>
      <c r="R16" s="34">
        <f>inp_acv_mid*R9</f>
        <v/>
      </c>
      <c r="S16" s="34">
        <f>inp_acv_mid*S9</f>
        <v/>
      </c>
      <c r="T16" s="34">
        <f>inp_acv_mid*T9</f>
        <v/>
      </c>
      <c r="U16" s="34">
        <f>inp_acv_mid*U9</f>
        <v/>
      </c>
      <c r="V16" s="34">
        <f>inp_acv_mid*V9</f>
        <v/>
      </c>
      <c r="W16" s="34">
        <f>inp_acv_mid*W9</f>
        <v/>
      </c>
      <c r="X16" s="34">
        <f>inp_acv_mid*X9</f>
        <v/>
      </c>
      <c r="Y16" s="34">
        <f>inp_acv_mid*Y9</f>
        <v/>
      </c>
      <c r="Z16" s="34">
        <f>inp_acv_mid*Z9</f>
        <v/>
      </c>
      <c r="AA16" s="34">
        <f>inp_acv_mid*AA9</f>
        <v/>
      </c>
      <c r="AB16" s="34">
        <f>inp_acv_mid*AB9</f>
        <v/>
      </c>
      <c r="AC16" s="34">
        <f>inp_acv_mid*AC9</f>
        <v/>
      </c>
      <c r="AD16" s="34">
        <f>inp_acv_mid*AD9</f>
        <v/>
      </c>
      <c r="AE16" s="34">
        <f>inp_acv_mid*AE9</f>
        <v/>
      </c>
      <c r="AF16" s="34">
        <f>inp_acv_mid*AF9</f>
        <v/>
      </c>
      <c r="AG16" s="34">
        <f>inp_acv_mid*AG9</f>
        <v/>
      </c>
      <c r="AH16" s="34">
        <f>inp_acv_mid*AH9</f>
        <v/>
      </c>
      <c r="AI16" s="34">
        <f>inp_acv_mid*AI9</f>
        <v/>
      </c>
      <c r="AJ16" s="34">
        <f>inp_acv_mid*AJ9</f>
        <v/>
      </c>
      <c r="AK16" s="34">
        <f>inp_acv_mid*AK9</f>
        <v/>
      </c>
      <c r="AL16" s="34">
        <f>inp_acv_mid*AL9</f>
        <v/>
      </c>
      <c r="AN16" s="34">
        <f>INDEX($O16:$AL16,1,AN$5*12)</f>
        <v/>
      </c>
      <c r="AO16" s="34">
        <f>INDEX($O16:$AL16,1,AO$5*12)</f>
        <v/>
      </c>
    </row>
    <row r="17">
      <c r="A17" s="5" t="inlineStr">
        <is>
          <t>Monthly gross churn rate - Mid-market</t>
        </is>
      </c>
      <c r="B17" s="2" t="inlineStr">
        <is>
          <t>%/mo</t>
        </is>
      </c>
      <c r="O17" s="35">
        <f>1-(1-inp_churn_mid)^(1/12)</f>
        <v/>
      </c>
      <c r="P17" s="35">
        <f>1-(1-inp_churn_mid)^(1/12)</f>
        <v/>
      </c>
      <c r="Q17" s="35">
        <f>1-(1-inp_churn_mid)^(1/12)</f>
        <v/>
      </c>
      <c r="R17" s="35">
        <f>1-(1-inp_churn_mid)^(1/12)</f>
        <v/>
      </c>
      <c r="S17" s="35">
        <f>1-(1-inp_churn_mid)^(1/12)</f>
        <v/>
      </c>
      <c r="T17" s="35">
        <f>1-(1-inp_churn_mid)^(1/12)</f>
        <v/>
      </c>
      <c r="U17" s="35">
        <f>1-(1-inp_churn_mid)^(1/12)</f>
        <v/>
      </c>
      <c r="V17" s="35">
        <f>1-(1-inp_churn_mid)^(1/12)</f>
        <v/>
      </c>
      <c r="W17" s="35">
        <f>1-(1-inp_churn_mid)^(1/12)</f>
        <v/>
      </c>
      <c r="X17" s="35">
        <f>1-(1-inp_churn_mid)^(1/12)</f>
        <v/>
      </c>
      <c r="Y17" s="35">
        <f>1-(1-inp_churn_mid)^(1/12)</f>
        <v/>
      </c>
      <c r="Z17" s="35">
        <f>1-(1-inp_churn_mid)^(1/12)</f>
        <v/>
      </c>
      <c r="AA17" s="35">
        <f>1-(1-inp_churn_mid)^(1/12)</f>
        <v/>
      </c>
      <c r="AB17" s="35">
        <f>1-(1-inp_churn_mid)^(1/12)</f>
        <v/>
      </c>
      <c r="AC17" s="35">
        <f>1-(1-inp_churn_mid)^(1/12)</f>
        <v/>
      </c>
      <c r="AD17" s="35">
        <f>1-(1-inp_churn_mid)^(1/12)</f>
        <v/>
      </c>
      <c r="AE17" s="35">
        <f>1-(1-inp_churn_mid)^(1/12)</f>
        <v/>
      </c>
      <c r="AF17" s="35">
        <f>1-(1-inp_churn_mid)^(1/12)</f>
        <v/>
      </c>
      <c r="AG17" s="35">
        <f>1-(1-inp_churn_mid)^(1/12)</f>
        <v/>
      </c>
      <c r="AH17" s="35">
        <f>1-(1-inp_churn_mid)^(1/12)</f>
        <v/>
      </c>
      <c r="AI17" s="35">
        <f>1-(1-inp_churn_mid)^(1/12)</f>
        <v/>
      </c>
      <c r="AJ17" s="35">
        <f>1-(1-inp_churn_mid)^(1/12)</f>
        <v/>
      </c>
      <c r="AK17" s="35">
        <f>1-(1-inp_churn_mid)^(1/12)</f>
        <v/>
      </c>
      <c r="AL17" s="35">
        <f>1-(1-inp_churn_mid)^(1/12)</f>
        <v/>
      </c>
      <c r="AN17" s="35">
        <f>INDEX($O17:$AL17,1,AN$5*12)</f>
        <v/>
      </c>
      <c r="AO17" s="35">
        <f>INDEX($O17:$AL17,1,AO$5*12)</f>
        <v/>
      </c>
    </row>
    <row r="18">
      <c r="A18" s="5" t="inlineStr">
        <is>
          <t>Monthly expansion rate - Mid-market</t>
        </is>
      </c>
      <c r="B18" s="2" t="inlineStr">
        <is>
          <t>%/mo</t>
        </is>
      </c>
      <c r="O18" s="35">
        <f>(1+inp_exp_mid)^(1/12)-1</f>
        <v/>
      </c>
      <c r="P18" s="35">
        <f>(1+inp_exp_mid)^(1/12)-1</f>
        <v/>
      </c>
      <c r="Q18" s="35">
        <f>(1+inp_exp_mid)^(1/12)-1</f>
        <v/>
      </c>
      <c r="R18" s="35">
        <f>(1+inp_exp_mid)^(1/12)-1</f>
        <v/>
      </c>
      <c r="S18" s="35">
        <f>(1+inp_exp_mid)^(1/12)-1</f>
        <v/>
      </c>
      <c r="T18" s="35">
        <f>(1+inp_exp_mid)^(1/12)-1</f>
        <v/>
      </c>
      <c r="U18" s="35">
        <f>(1+inp_exp_mid)^(1/12)-1</f>
        <v/>
      </c>
      <c r="V18" s="35">
        <f>(1+inp_exp_mid)^(1/12)-1</f>
        <v/>
      </c>
      <c r="W18" s="35">
        <f>(1+inp_exp_mid)^(1/12)-1</f>
        <v/>
      </c>
      <c r="X18" s="35">
        <f>(1+inp_exp_mid)^(1/12)-1</f>
        <v/>
      </c>
      <c r="Y18" s="35">
        <f>(1+inp_exp_mid)^(1/12)-1</f>
        <v/>
      </c>
      <c r="Z18" s="35">
        <f>(1+inp_exp_mid)^(1/12)-1</f>
        <v/>
      </c>
      <c r="AA18" s="35">
        <f>(1+inp_exp_mid)^(1/12)-1</f>
        <v/>
      </c>
      <c r="AB18" s="35">
        <f>(1+inp_exp_mid)^(1/12)-1</f>
        <v/>
      </c>
      <c r="AC18" s="35">
        <f>(1+inp_exp_mid)^(1/12)-1</f>
        <v/>
      </c>
      <c r="AD18" s="35">
        <f>(1+inp_exp_mid)^(1/12)-1</f>
        <v/>
      </c>
      <c r="AE18" s="35">
        <f>(1+inp_exp_mid)^(1/12)-1</f>
        <v/>
      </c>
      <c r="AF18" s="35">
        <f>(1+inp_exp_mid)^(1/12)-1</f>
        <v/>
      </c>
      <c r="AG18" s="35">
        <f>(1+inp_exp_mid)^(1/12)-1</f>
        <v/>
      </c>
      <c r="AH18" s="35">
        <f>(1+inp_exp_mid)^(1/12)-1</f>
        <v/>
      </c>
      <c r="AI18" s="35">
        <f>(1+inp_exp_mid)^(1/12)-1</f>
        <v/>
      </c>
      <c r="AJ18" s="35">
        <f>(1+inp_exp_mid)^(1/12)-1</f>
        <v/>
      </c>
      <c r="AK18" s="35">
        <f>(1+inp_exp_mid)^(1/12)-1</f>
        <v/>
      </c>
      <c r="AL18" s="35">
        <f>(1+inp_exp_mid)^(1/12)-1</f>
        <v/>
      </c>
      <c r="AN18" s="35">
        <f>INDEX($O18:$AL18,1,AN$5*12)</f>
        <v/>
      </c>
      <c r="AO18" s="35">
        <f>INDEX($O18:$AL18,1,AO$5*12)</f>
        <v/>
      </c>
    </row>
    <row r="20">
      <c r="A20" s="13" t="inlineStr">
        <is>
          <t>ARR waterfall - Enterprise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5" t="inlineStr">
        <is>
          <t>Opening ARR</t>
        </is>
      </c>
      <c r="B21" s="2" t="inlineStr">
        <is>
          <t>GBP k</t>
        </is>
      </c>
      <c r="O21" s="36">
        <f>N25</f>
        <v/>
      </c>
      <c r="P21" s="36">
        <f>O25</f>
        <v/>
      </c>
      <c r="Q21" s="36">
        <f>P25</f>
        <v/>
      </c>
      <c r="R21" s="36">
        <f>Q25</f>
        <v/>
      </c>
      <c r="S21" s="36">
        <f>R25</f>
        <v/>
      </c>
      <c r="T21" s="36">
        <f>S25</f>
        <v/>
      </c>
      <c r="U21" s="36">
        <f>T25</f>
        <v/>
      </c>
      <c r="V21" s="36">
        <f>U25</f>
        <v/>
      </c>
      <c r="W21" s="36">
        <f>V25</f>
        <v/>
      </c>
      <c r="X21" s="36">
        <f>W25</f>
        <v/>
      </c>
      <c r="Y21" s="36">
        <f>X25</f>
        <v/>
      </c>
      <c r="Z21" s="36">
        <f>Y25</f>
        <v/>
      </c>
      <c r="AA21" s="36">
        <f>Z25</f>
        <v/>
      </c>
      <c r="AB21" s="36">
        <f>AA25</f>
        <v/>
      </c>
      <c r="AC21" s="36">
        <f>AB25</f>
        <v/>
      </c>
      <c r="AD21" s="36">
        <f>AC25</f>
        <v/>
      </c>
      <c r="AE21" s="36">
        <f>AD25</f>
        <v/>
      </c>
      <c r="AF21" s="36">
        <f>AE25</f>
        <v/>
      </c>
      <c r="AG21" s="36">
        <f>AF25</f>
        <v/>
      </c>
      <c r="AH21" s="36">
        <f>AG25</f>
        <v/>
      </c>
      <c r="AI21" s="36">
        <f>AH25</f>
        <v/>
      </c>
      <c r="AJ21" s="36">
        <f>AI25</f>
        <v/>
      </c>
      <c r="AK21" s="36">
        <f>AJ25</f>
        <v/>
      </c>
      <c r="AL21" s="36">
        <f>AK25</f>
        <v/>
      </c>
      <c r="AN21" s="36">
        <f>INDEX($O21:$AL21,1,(AN$5-1)*12+1)</f>
        <v/>
      </c>
      <c r="AO21" s="36">
        <f>INDEX($O21:$AL21,1,(AO$5-1)*12+1)</f>
        <v/>
      </c>
    </row>
    <row r="22">
      <c r="A22" s="5" t="inlineStr">
        <is>
          <t>+ New logos</t>
        </is>
      </c>
      <c r="B22" s="2" t="inlineStr">
        <is>
          <t>GBP k</t>
        </is>
      </c>
      <c r="O22" s="36">
        <f>O11*O12</f>
        <v/>
      </c>
      <c r="P22" s="36">
        <f>P11*P12</f>
        <v/>
      </c>
      <c r="Q22" s="36">
        <f>Q11*Q12</f>
        <v/>
      </c>
      <c r="R22" s="36">
        <f>R11*R12</f>
        <v/>
      </c>
      <c r="S22" s="36">
        <f>S11*S12</f>
        <v/>
      </c>
      <c r="T22" s="36">
        <f>T11*T12</f>
        <v/>
      </c>
      <c r="U22" s="36">
        <f>U11*U12</f>
        <v/>
      </c>
      <c r="V22" s="36">
        <f>V11*V12</f>
        <v/>
      </c>
      <c r="W22" s="36">
        <f>W11*W12</f>
        <v/>
      </c>
      <c r="X22" s="36">
        <f>X11*X12</f>
        <v/>
      </c>
      <c r="Y22" s="36">
        <f>Y11*Y12</f>
        <v/>
      </c>
      <c r="Z22" s="36">
        <f>Z11*Z12</f>
        <v/>
      </c>
      <c r="AA22" s="36">
        <f>AA11*AA12</f>
        <v/>
      </c>
      <c r="AB22" s="36">
        <f>AB11*AB12</f>
        <v/>
      </c>
      <c r="AC22" s="36">
        <f>AC11*AC12</f>
        <v/>
      </c>
      <c r="AD22" s="36">
        <f>AD11*AD12</f>
        <v/>
      </c>
      <c r="AE22" s="36">
        <f>AE11*AE12</f>
        <v/>
      </c>
      <c r="AF22" s="36">
        <f>AF11*AF12</f>
        <v/>
      </c>
      <c r="AG22" s="36">
        <f>AG11*AG12</f>
        <v/>
      </c>
      <c r="AH22" s="36">
        <f>AH11*AH12</f>
        <v/>
      </c>
      <c r="AI22" s="36">
        <f>AI11*AI12</f>
        <v/>
      </c>
      <c r="AJ22" s="36">
        <f>AJ11*AJ12</f>
        <v/>
      </c>
      <c r="AK22" s="36">
        <f>AK11*AK12</f>
        <v/>
      </c>
      <c r="AL22" s="36">
        <f>AL11*AL12</f>
        <v/>
      </c>
      <c r="AN22" s="36">
        <f>SUMIF($O$5:$AL$5,AN$5,$O22:$AL22)</f>
        <v/>
      </c>
      <c r="AO22" s="36">
        <f>SUMIF($O$5:$AL$5,AO$5,$O22:$AL22)</f>
        <v/>
      </c>
    </row>
    <row r="23">
      <c r="A23" s="5" t="inlineStr">
        <is>
          <t>+ Expansion</t>
        </is>
      </c>
      <c r="B23" s="2" t="inlineStr">
        <is>
          <t>GBP k</t>
        </is>
      </c>
      <c r="O23" s="36">
        <f>O21*O14</f>
        <v/>
      </c>
      <c r="P23" s="36">
        <f>P21*P14</f>
        <v/>
      </c>
      <c r="Q23" s="36">
        <f>Q21*Q14</f>
        <v/>
      </c>
      <c r="R23" s="36">
        <f>R21*R14</f>
        <v/>
      </c>
      <c r="S23" s="36">
        <f>S21*S14</f>
        <v/>
      </c>
      <c r="T23" s="36">
        <f>T21*T14</f>
        <v/>
      </c>
      <c r="U23" s="36">
        <f>U21*U14</f>
        <v/>
      </c>
      <c r="V23" s="36">
        <f>V21*V14</f>
        <v/>
      </c>
      <c r="W23" s="36">
        <f>W21*W14</f>
        <v/>
      </c>
      <c r="X23" s="36">
        <f>X21*X14</f>
        <v/>
      </c>
      <c r="Y23" s="36">
        <f>Y21*Y14</f>
        <v/>
      </c>
      <c r="Z23" s="36">
        <f>Z21*Z14</f>
        <v/>
      </c>
      <c r="AA23" s="36">
        <f>AA21*AA14</f>
        <v/>
      </c>
      <c r="AB23" s="36">
        <f>AB21*AB14</f>
        <v/>
      </c>
      <c r="AC23" s="36">
        <f>AC21*AC14</f>
        <v/>
      </c>
      <c r="AD23" s="36">
        <f>AD21*AD14</f>
        <v/>
      </c>
      <c r="AE23" s="36">
        <f>AE21*AE14</f>
        <v/>
      </c>
      <c r="AF23" s="36">
        <f>AF21*AF14</f>
        <v/>
      </c>
      <c r="AG23" s="36">
        <f>AG21*AG14</f>
        <v/>
      </c>
      <c r="AH23" s="36">
        <f>AH21*AH14</f>
        <v/>
      </c>
      <c r="AI23" s="36">
        <f>AI21*AI14</f>
        <v/>
      </c>
      <c r="AJ23" s="36">
        <f>AJ21*AJ14</f>
        <v/>
      </c>
      <c r="AK23" s="36">
        <f>AK21*AK14</f>
        <v/>
      </c>
      <c r="AL23" s="36">
        <f>AL21*AL14</f>
        <v/>
      </c>
      <c r="AN23" s="36">
        <f>SUMIF($O$5:$AL$5,AN$5,$O23:$AL23)</f>
        <v/>
      </c>
      <c r="AO23" s="36">
        <f>SUMIF($O$5:$AL$5,AO$5,$O23:$AL23)</f>
        <v/>
      </c>
    </row>
    <row r="24">
      <c r="A24" s="5" t="inlineStr">
        <is>
          <t>- Churn</t>
        </is>
      </c>
      <c r="B24" s="2" t="inlineStr">
        <is>
          <t>GBP k</t>
        </is>
      </c>
      <c r="O24" s="36">
        <f>-O21*O13</f>
        <v/>
      </c>
      <c r="P24" s="36">
        <f>-P21*P13</f>
        <v/>
      </c>
      <c r="Q24" s="36">
        <f>-Q21*Q13</f>
        <v/>
      </c>
      <c r="R24" s="36">
        <f>-R21*R13</f>
        <v/>
      </c>
      <c r="S24" s="36">
        <f>-S21*S13</f>
        <v/>
      </c>
      <c r="T24" s="36">
        <f>-T21*T13</f>
        <v/>
      </c>
      <c r="U24" s="36">
        <f>-U21*U13</f>
        <v/>
      </c>
      <c r="V24" s="36">
        <f>-V21*V13</f>
        <v/>
      </c>
      <c r="W24" s="36">
        <f>-W21*W13</f>
        <v/>
      </c>
      <c r="X24" s="36">
        <f>-X21*X13</f>
        <v/>
      </c>
      <c r="Y24" s="36">
        <f>-Y21*Y13</f>
        <v/>
      </c>
      <c r="Z24" s="36">
        <f>-Z21*Z13</f>
        <v/>
      </c>
      <c r="AA24" s="36">
        <f>-AA21*AA13</f>
        <v/>
      </c>
      <c r="AB24" s="36">
        <f>-AB21*AB13</f>
        <v/>
      </c>
      <c r="AC24" s="36">
        <f>-AC21*AC13</f>
        <v/>
      </c>
      <c r="AD24" s="36">
        <f>-AD21*AD13</f>
        <v/>
      </c>
      <c r="AE24" s="36">
        <f>-AE21*AE13</f>
        <v/>
      </c>
      <c r="AF24" s="36">
        <f>-AF21*AF13</f>
        <v/>
      </c>
      <c r="AG24" s="36">
        <f>-AG21*AG13</f>
        <v/>
      </c>
      <c r="AH24" s="36">
        <f>-AH21*AH13</f>
        <v/>
      </c>
      <c r="AI24" s="36">
        <f>-AI21*AI13</f>
        <v/>
      </c>
      <c r="AJ24" s="36">
        <f>-AJ21*AJ13</f>
        <v/>
      </c>
      <c r="AK24" s="36">
        <f>-AK21*AK13</f>
        <v/>
      </c>
      <c r="AL24" s="36">
        <f>-AL21*AL13</f>
        <v/>
      </c>
      <c r="AN24" s="36">
        <f>SUMIF($O$5:$AL$5,AN$5,$O24:$AL24)</f>
        <v/>
      </c>
      <c r="AO24" s="36">
        <f>SUMIF($O$5:$AL$5,AO$5,$O24:$AL24)</f>
        <v/>
      </c>
    </row>
    <row r="25">
      <c r="A25" s="37" t="inlineStr">
        <is>
          <t>Closing ARR</t>
        </is>
      </c>
      <c r="B25" s="38" t="inlineStr">
        <is>
          <t>GBP k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40">
        <f>inp_arr_open_ent</f>
        <v/>
      </c>
      <c r="O25" s="40">
        <f>SUM(O21:O24)</f>
        <v/>
      </c>
      <c r="P25" s="40">
        <f>SUM(P21:P24)</f>
        <v/>
      </c>
      <c r="Q25" s="40">
        <f>SUM(Q21:Q24)</f>
        <v/>
      </c>
      <c r="R25" s="40">
        <f>SUM(R21:R24)</f>
        <v/>
      </c>
      <c r="S25" s="40">
        <f>SUM(S21:S24)</f>
        <v/>
      </c>
      <c r="T25" s="40">
        <f>SUM(T21:T24)</f>
        <v/>
      </c>
      <c r="U25" s="40">
        <f>SUM(U21:U24)</f>
        <v/>
      </c>
      <c r="V25" s="40">
        <f>SUM(V21:V24)</f>
        <v/>
      </c>
      <c r="W25" s="40">
        <f>SUM(W21:W24)</f>
        <v/>
      </c>
      <c r="X25" s="40">
        <f>SUM(X21:X24)</f>
        <v/>
      </c>
      <c r="Y25" s="40">
        <f>SUM(Y21:Y24)</f>
        <v/>
      </c>
      <c r="Z25" s="40">
        <f>SUM(Z21:Z24)</f>
        <v/>
      </c>
      <c r="AA25" s="40">
        <f>SUM(AA21:AA24)</f>
        <v/>
      </c>
      <c r="AB25" s="40">
        <f>SUM(AB21:AB24)</f>
        <v/>
      </c>
      <c r="AC25" s="40">
        <f>SUM(AC21:AC24)</f>
        <v/>
      </c>
      <c r="AD25" s="40">
        <f>SUM(AD21:AD24)</f>
        <v/>
      </c>
      <c r="AE25" s="40">
        <f>SUM(AE21:AE24)</f>
        <v/>
      </c>
      <c r="AF25" s="40">
        <f>SUM(AF21:AF24)</f>
        <v/>
      </c>
      <c r="AG25" s="40">
        <f>SUM(AG21:AG24)</f>
        <v/>
      </c>
      <c r="AH25" s="40">
        <f>SUM(AH21:AH24)</f>
        <v/>
      </c>
      <c r="AI25" s="40">
        <f>SUM(AI21:AI24)</f>
        <v/>
      </c>
      <c r="AJ25" s="40">
        <f>SUM(AJ21:AJ24)</f>
        <v/>
      </c>
      <c r="AK25" s="40">
        <f>SUM(AK21:AK24)</f>
        <v/>
      </c>
      <c r="AL25" s="40">
        <f>SUM(AL21:AL24)</f>
        <v/>
      </c>
      <c r="AM25" s="39" t="n"/>
      <c r="AN25" s="40">
        <f>INDEX($O25:$AL25,1,AN$5*12)</f>
        <v/>
      </c>
      <c r="AO25" s="40">
        <f>INDEX($O25:$AL25,1,AO$5*12)</f>
        <v/>
      </c>
    </row>
    <row r="26">
      <c r="A26" s="5" t="inlineStr">
        <is>
          <t>Opening customers</t>
        </is>
      </c>
      <c r="B26" s="2" t="inlineStr">
        <is>
          <t>#</t>
        </is>
      </c>
      <c r="O26" s="34">
        <f>N29</f>
        <v/>
      </c>
      <c r="P26" s="34">
        <f>O29</f>
        <v/>
      </c>
      <c r="Q26" s="34">
        <f>P29</f>
        <v/>
      </c>
      <c r="R26" s="34">
        <f>Q29</f>
        <v/>
      </c>
      <c r="S26" s="34">
        <f>R29</f>
        <v/>
      </c>
      <c r="T26" s="34">
        <f>S29</f>
        <v/>
      </c>
      <c r="U26" s="34">
        <f>T29</f>
        <v/>
      </c>
      <c r="V26" s="34">
        <f>U29</f>
        <v/>
      </c>
      <c r="W26" s="34">
        <f>V29</f>
        <v/>
      </c>
      <c r="X26" s="34">
        <f>W29</f>
        <v/>
      </c>
      <c r="Y26" s="34">
        <f>X29</f>
        <v/>
      </c>
      <c r="Z26" s="34">
        <f>Y29</f>
        <v/>
      </c>
      <c r="AA26" s="34">
        <f>Z29</f>
        <v/>
      </c>
      <c r="AB26" s="34">
        <f>AA29</f>
        <v/>
      </c>
      <c r="AC26" s="34">
        <f>AB29</f>
        <v/>
      </c>
      <c r="AD26" s="34">
        <f>AC29</f>
        <v/>
      </c>
      <c r="AE26" s="34">
        <f>AD29</f>
        <v/>
      </c>
      <c r="AF26" s="34">
        <f>AE29</f>
        <v/>
      </c>
      <c r="AG26" s="34">
        <f>AF29</f>
        <v/>
      </c>
      <c r="AH26" s="34">
        <f>AG29</f>
        <v/>
      </c>
      <c r="AI26" s="34">
        <f>AH29</f>
        <v/>
      </c>
      <c r="AJ26" s="34">
        <f>AI29</f>
        <v/>
      </c>
      <c r="AK26" s="34">
        <f>AJ29</f>
        <v/>
      </c>
      <c r="AL26" s="34">
        <f>AK29</f>
        <v/>
      </c>
      <c r="AN26" s="34">
        <f>INDEX($O26:$AL26,1,(AN$5-1)*12+1)</f>
        <v/>
      </c>
      <c r="AO26" s="34">
        <f>INDEX($O26:$AL26,1,(AO$5-1)*12+1)</f>
        <v/>
      </c>
    </row>
    <row r="27">
      <c r="A27" s="5" t="inlineStr">
        <is>
          <t>+ New customers</t>
        </is>
      </c>
      <c r="B27" s="2" t="inlineStr">
        <is>
          <t>#</t>
        </is>
      </c>
      <c r="O27" s="34">
        <f>O11</f>
        <v/>
      </c>
      <c r="P27" s="34">
        <f>P11</f>
        <v/>
      </c>
      <c r="Q27" s="34">
        <f>Q11</f>
        <v/>
      </c>
      <c r="R27" s="34">
        <f>R11</f>
        <v/>
      </c>
      <c r="S27" s="34">
        <f>S11</f>
        <v/>
      </c>
      <c r="T27" s="34">
        <f>T11</f>
        <v/>
      </c>
      <c r="U27" s="34">
        <f>U11</f>
        <v/>
      </c>
      <c r="V27" s="34">
        <f>V11</f>
        <v/>
      </c>
      <c r="W27" s="34">
        <f>W11</f>
        <v/>
      </c>
      <c r="X27" s="34">
        <f>X11</f>
        <v/>
      </c>
      <c r="Y27" s="34">
        <f>Y11</f>
        <v/>
      </c>
      <c r="Z27" s="34">
        <f>Z11</f>
        <v/>
      </c>
      <c r="AA27" s="34">
        <f>AA11</f>
        <v/>
      </c>
      <c r="AB27" s="34">
        <f>AB11</f>
        <v/>
      </c>
      <c r="AC27" s="34">
        <f>AC11</f>
        <v/>
      </c>
      <c r="AD27" s="34">
        <f>AD11</f>
        <v/>
      </c>
      <c r="AE27" s="34">
        <f>AE11</f>
        <v/>
      </c>
      <c r="AF27" s="34">
        <f>AF11</f>
        <v/>
      </c>
      <c r="AG27" s="34">
        <f>AG11</f>
        <v/>
      </c>
      <c r="AH27" s="34">
        <f>AH11</f>
        <v/>
      </c>
      <c r="AI27" s="34">
        <f>AI11</f>
        <v/>
      </c>
      <c r="AJ27" s="34">
        <f>AJ11</f>
        <v/>
      </c>
      <c r="AK27" s="34">
        <f>AK11</f>
        <v/>
      </c>
      <c r="AL27" s="34">
        <f>AL11</f>
        <v/>
      </c>
      <c r="AN27" s="34">
        <f>SUMIF($O$5:$AL$5,AN$5,$O27:$AL27)</f>
        <v/>
      </c>
      <c r="AO27" s="34">
        <f>SUMIF($O$5:$AL$5,AO$5,$O27:$AL27)</f>
        <v/>
      </c>
    </row>
    <row r="28">
      <c r="A28" s="5" t="inlineStr">
        <is>
          <t>- Churned customers</t>
        </is>
      </c>
      <c r="B28" s="2" t="inlineStr">
        <is>
          <t>#</t>
        </is>
      </c>
      <c r="O28" s="34">
        <f>-O26*O13</f>
        <v/>
      </c>
      <c r="P28" s="34">
        <f>-P26*P13</f>
        <v/>
      </c>
      <c r="Q28" s="34">
        <f>-Q26*Q13</f>
        <v/>
      </c>
      <c r="R28" s="34">
        <f>-R26*R13</f>
        <v/>
      </c>
      <c r="S28" s="34">
        <f>-S26*S13</f>
        <v/>
      </c>
      <c r="T28" s="34">
        <f>-T26*T13</f>
        <v/>
      </c>
      <c r="U28" s="34">
        <f>-U26*U13</f>
        <v/>
      </c>
      <c r="V28" s="34">
        <f>-V26*V13</f>
        <v/>
      </c>
      <c r="W28" s="34">
        <f>-W26*W13</f>
        <v/>
      </c>
      <c r="X28" s="34">
        <f>-X26*X13</f>
        <v/>
      </c>
      <c r="Y28" s="34">
        <f>-Y26*Y13</f>
        <v/>
      </c>
      <c r="Z28" s="34">
        <f>-Z26*Z13</f>
        <v/>
      </c>
      <c r="AA28" s="34">
        <f>-AA26*AA13</f>
        <v/>
      </c>
      <c r="AB28" s="34">
        <f>-AB26*AB13</f>
        <v/>
      </c>
      <c r="AC28" s="34">
        <f>-AC26*AC13</f>
        <v/>
      </c>
      <c r="AD28" s="34">
        <f>-AD26*AD13</f>
        <v/>
      </c>
      <c r="AE28" s="34">
        <f>-AE26*AE13</f>
        <v/>
      </c>
      <c r="AF28" s="34">
        <f>-AF26*AF13</f>
        <v/>
      </c>
      <c r="AG28" s="34">
        <f>-AG26*AG13</f>
        <v/>
      </c>
      <c r="AH28" s="34">
        <f>-AH26*AH13</f>
        <v/>
      </c>
      <c r="AI28" s="34">
        <f>-AI26*AI13</f>
        <v/>
      </c>
      <c r="AJ28" s="34">
        <f>-AJ26*AJ13</f>
        <v/>
      </c>
      <c r="AK28" s="34">
        <f>-AK26*AK13</f>
        <v/>
      </c>
      <c r="AL28" s="34">
        <f>-AL26*AL13</f>
        <v/>
      </c>
      <c r="AN28" s="34">
        <f>SUMIF($O$5:$AL$5,AN$5,$O28:$AL28)</f>
        <v/>
      </c>
      <c r="AO28" s="34">
        <f>SUMIF($O$5:$AL$5,AO$5,$O28:$AL28)</f>
        <v/>
      </c>
    </row>
    <row r="29">
      <c r="A29" s="37" t="inlineStr">
        <is>
          <t>Closing customers</t>
        </is>
      </c>
      <c r="B29" s="38" t="inlineStr">
        <is>
          <t>#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1">
        <f>inp_cust_open_ent</f>
        <v/>
      </c>
      <c r="O29" s="41">
        <f>SUM(O26:O28)</f>
        <v/>
      </c>
      <c r="P29" s="41">
        <f>SUM(P26:P28)</f>
        <v/>
      </c>
      <c r="Q29" s="41">
        <f>SUM(Q26:Q28)</f>
        <v/>
      </c>
      <c r="R29" s="41">
        <f>SUM(R26:R28)</f>
        <v/>
      </c>
      <c r="S29" s="41">
        <f>SUM(S26:S28)</f>
        <v/>
      </c>
      <c r="T29" s="41">
        <f>SUM(T26:T28)</f>
        <v/>
      </c>
      <c r="U29" s="41">
        <f>SUM(U26:U28)</f>
        <v/>
      </c>
      <c r="V29" s="41">
        <f>SUM(V26:V28)</f>
        <v/>
      </c>
      <c r="W29" s="41">
        <f>SUM(W26:W28)</f>
        <v/>
      </c>
      <c r="X29" s="41">
        <f>SUM(X26:X28)</f>
        <v/>
      </c>
      <c r="Y29" s="41">
        <f>SUM(Y26:Y28)</f>
        <v/>
      </c>
      <c r="Z29" s="41">
        <f>SUM(Z26:Z28)</f>
        <v/>
      </c>
      <c r="AA29" s="41">
        <f>SUM(AA26:AA28)</f>
        <v/>
      </c>
      <c r="AB29" s="41">
        <f>SUM(AB26:AB28)</f>
        <v/>
      </c>
      <c r="AC29" s="41">
        <f>SUM(AC26:AC28)</f>
        <v/>
      </c>
      <c r="AD29" s="41">
        <f>SUM(AD26:AD28)</f>
        <v/>
      </c>
      <c r="AE29" s="41">
        <f>SUM(AE26:AE28)</f>
        <v/>
      </c>
      <c r="AF29" s="41">
        <f>SUM(AF26:AF28)</f>
        <v/>
      </c>
      <c r="AG29" s="41">
        <f>SUM(AG26:AG28)</f>
        <v/>
      </c>
      <c r="AH29" s="41">
        <f>SUM(AH26:AH28)</f>
        <v/>
      </c>
      <c r="AI29" s="41">
        <f>SUM(AI26:AI28)</f>
        <v/>
      </c>
      <c r="AJ29" s="41">
        <f>SUM(AJ26:AJ28)</f>
        <v/>
      </c>
      <c r="AK29" s="41">
        <f>SUM(AK26:AK28)</f>
        <v/>
      </c>
      <c r="AL29" s="41">
        <f>SUM(AL26:AL28)</f>
        <v/>
      </c>
      <c r="AM29" s="39" t="n"/>
      <c r="AN29" s="41">
        <f>INDEX($O29:$AL29,1,AN$5*12)</f>
        <v/>
      </c>
      <c r="AO29" s="41">
        <f>INDEX($O29:$AL29,1,AO$5*12)</f>
        <v/>
      </c>
    </row>
    <row r="31">
      <c r="A31" s="13" t="inlineStr">
        <is>
          <t>ARR waterfall - Mid-market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5" t="inlineStr">
        <is>
          <t>Opening ARR</t>
        </is>
      </c>
      <c r="B32" s="2" t="inlineStr">
        <is>
          <t>GBP k</t>
        </is>
      </c>
      <c r="O32" s="36">
        <f>N36</f>
        <v/>
      </c>
      <c r="P32" s="36">
        <f>O36</f>
        <v/>
      </c>
      <c r="Q32" s="36">
        <f>P36</f>
        <v/>
      </c>
      <c r="R32" s="36">
        <f>Q36</f>
        <v/>
      </c>
      <c r="S32" s="36">
        <f>R36</f>
        <v/>
      </c>
      <c r="T32" s="36">
        <f>S36</f>
        <v/>
      </c>
      <c r="U32" s="36">
        <f>T36</f>
        <v/>
      </c>
      <c r="V32" s="36">
        <f>U36</f>
        <v/>
      </c>
      <c r="W32" s="36">
        <f>V36</f>
        <v/>
      </c>
      <c r="X32" s="36">
        <f>W36</f>
        <v/>
      </c>
      <c r="Y32" s="36">
        <f>X36</f>
        <v/>
      </c>
      <c r="Z32" s="36">
        <f>Y36</f>
        <v/>
      </c>
      <c r="AA32" s="36">
        <f>Z36</f>
        <v/>
      </c>
      <c r="AB32" s="36">
        <f>AA36</f>
        <v/>
      </c>
      <c r="AC32" s="36">
        <f>AB36</f>
        <v/>
      </c>
      <c r="AD32" s="36">
        <f>AC36</f>
        <v/>
      </c>
      <c r="AE32" s="36">
        <f>AD36</f>
        <v/>
      </c>
      <c r="AF32" s="36">
        <f>AE36</f>
        <v/>
      </c>
      <c r="AG32" s="36">
        <f>AF36</f>
        <v/>
      </c>
      <c r="AH32" s="36">
        <f>AG36</f>
        <v/>
      </c>
      <c r="AI32" s="36">
        <f>AH36</f>
        <v/>
      </c>
      <c r="AJ32" s="36">
        <f>AI36</f>
        <v/>
      </c>
      <c r="AK32" s="36">
        <f>AJ36</f>
        <v/>
      </c>
      <c r="AL32" s="36">
        <f>AK36</f>
        <v/>
      </c>
      <c r="AN32" s="36">
        <f>INDEX($O32:$AL32,1,(AN$5-1)*12+1)</f>
        <v/>
      </c>
      <c r="AO32" s="36">
        <f>INDEX($O32:$AL32,1,(AO$5-1)*12+1)</f>
        <v/>
      </c>
    </row>
    <row r="33">
      <c r="A33" s="5" t="inlineStr">
        <is>
          <t>+ New logos</t>
        </is>
      </c>
      <c r="B33" s="2" t="inlineStr">
        <is>
          <t>GBP k</t>
        </is>
      </c>
      <c r="O33" s="36">
        <f>O15*O16</f>
        <v/>
      </c>
      <c r="P33" s="36">
        <f>P15*P16</f>
        <v/>
      </c>
      <c r="Q33" s="36">
        <f>Q15*Q16</f>
        <v/>
      </c>
      <c r="R33" s="36">
        <f>R15*R16</f>
        <v/>
      </c>
      <c r="S33" s="36">
        <f>S15*S16</f>
        <v/>
      </c>
      <c r="T33" s="36">
        <f>T15*T16</f>
        <v/>
      </c>
      <c r="U33" s="36">
        <f>U15*U16</f>
        <v/>
      </c>
      <c r="V33" s="36">
        <f>V15*V16</f>
        <v/>
      </c>
      <c r="W33" s="36">
        <f>W15*W16</f>
        <v/>
      </c>
      <c r="X33" s="36">
        <f>X15*X16</f>
        <v/>
      </c>
      <c r="Y33" s="36">
        <f>Y15*Y16</f>
        <v/>
      </c>
      <c r="Z33" s="36">
        <f>Z15*Z16</f>
        <v/>
      </c>
      <c r="AA33" s="36">
        <f>AA15*AA16</f>
        <v/>
      </c>
      <c r="AB33" s="36">
        <f>AB15*AB16</f>
        <v/>
      </c>
      <c r="AC33" s="36">
        <f>AC15*AC16</f>
        <v/>
      </c>
      <c r="AD33" s="36">
        <f>AD15*AD16</f>
        <v/>
      </c>
      <c r="AE33" s="36">
        <f>AE15*AE16</f>
        <v/>
      </c>
      <c r="AF33" s="36">
        <f>AF15*AF16</f>
        <v/>
      </c>
      <c r="AG33" s="36">
        <f>AG15*AG16</f>
        <v/>
      </c>
      <c r="AH33" s="36">
        <f>AH15*AH16</f>
        <v/>
      </c>
      <c r="AI33" s="36">
        <f>AI15*AI16</f>
        <v/>
      </c>
      <c r="AJ33" s="36">
        <f>AJ15*AJ16</f>
        <v/>
      </c>
      <c r="AK33" s="36">
        <f>AK15*AK16</f>
        <v/>
      </c>
      <c r="AL33" s="36">
        <f>AL15*AL16</f>
        <v/>
      </c>
      <c r="AN33" s="36">
        <f>SUMIF($O$5:$AL$5,AN$5,$O33:$AL33)</f>
        <v/>
      </c>
      <c r="AO33" s="36">
        <f>SUMIF($O$5:$AL$5,AO$5,$O33:$AL33)</f>
        <v/>
      </c>
    </row>
    <row r="34">
      <c r="A34" s="5" t="inlineStr">
        <is>
          <t>+ Expansion</t>
        </is>
      </c>
      <c r="B34" s="2" t="inlineStr">
        <is>
          <t>GBP k</t>
        </is>
      </c>
      <c r="O34" s="36">
        <f>O32*O18</f>
        <v/>
      </c>
      <c r="P34" s="36">
        <f>P32*P18</f>
        <v/>
      </c>
      <c r="Q34" s="36">
        <f>Q32*Q18</f>
        <v/>
      </c>
      <c r="R34" s="36">
        <f>R32*R18</f>
        <v/>
      </c>
      <c r="S34" s="36">
        <f>S32*S18</f>
        <v/>
      </c>
      <c r="T34" s="36">
        <f>T32*T18</f>
        <v/>
      </c>
      <c r="U34" s="36">
        <f>U32*U18</f>
        <v/>
      </c>
      <c r="V34" s="36">
        <f>V32*V18</f>
        <v/>
      </c>
      <c r="W34" s="36">
        <f>W32*W18</f>
        <v/>
      </c>
      <c r="X34" s="36">
        <f>X32*X18</f>
        <v/>
      </c>
      <c r="Y34" s="36">
        <f>Y32*Y18</f>
        <v/>
      </c>
      <c r="Z34" s="36">
        <f>Z32*Z18</f>
        <v/>
      </c>
      <c r="AA34" s="36">
        <f>AA32*AA18</f>
        <v/>
      </c>
      <c r="AB34" s="36">
        <f>AB32*AB18</f>
        <v/>
      </c>
      <c r="AC34" s="36">
        <f>AC32*AC18</f>
        <v/>
      </c>
      <c r="AD34" s="36">
        <f>AD32*AD18</f>
        <v/>
      </c>
      <c r="AE34" s="36">
        <f>AE32*AE18</f>
        <v/>
      </c>
      <c r="AF34" s="36">
        <f>AF32*AF18</f>
        <v/>
      </c>
      <c r="AG34" s="36">
        <f>AG32*AG18</f>
        <v/>
      </c>
      <c r="AH34" s="36">
        <f>AH32*AH18</f>
        <v/>
      </c>
      <c r="AI34" s="36">
        <f>AI32*AI18</f>
        <v/>
      </c>
      <c r="AJ34" s="36">
        <f>AJ32*AJ18</f>
        <v/>
      </c>
      <c r="AK34" s="36">
        <f>AK32*AK18</f>
        <v/>
      </c>
      <c r="AL34" s="36">
        <f>AL32*AL18</f>
        <v/>
      </c>
      <c r="AN34" s="36">
        <f>SUMIF($O$5:$AL$5,AN$5,$O34:$AL34)</f>
        <v/>
      </c>
      <c r="AO34" s="36">
        <f>SUMIF($O$5:$AL$5,AO$5,$O34:$AL34)</f>
        <v/>
      </c>
    </row>
    <row r="35">
      <c r="A35" s="5" t="inlineStr">
        <is>
          <t>- Churn</t>
        </is>
      </c>
      <c r="B35" s="2" t="inlineStr">
        <is>
          <t>GBP k</t>
        </is>
      </c>
      <c r="O35" s="36">
        <f>-O32*O17</f>
        <v/>
      </c>
      <c r="P35" s="36">
        <f>-P32*P17</f>
        <v/>
      </c>
      <c r="Q35" s="36">
        <f>-Q32*Q17</f>
        <v/>
      </c>
      <c r="R35" s="36">
        <f>-R32*R17</f>
        <v/>
      </c>
      <c r="S35" s="36">
        <f>-S32*S17</f>
        <v/>
      </c>
      <c r="T35" s="36">
        <f>-T32*T17</f>
        <v/>
      </c>
      <c r="U35" s="36">
        <f>-U32*U17</f>
        <v/>
      </c>
      <c r="V35" s="36">
        <f>-V32*V17</f>
        <v/>
      </c>
      <c r="W35" s="36">
        <f>-W32*W17</f>
        <v/>
      </c>
      <c r="X35" s="36">
        <f>-X32*X17</f>
        <v/>
      </c>
      <c r="Y35" s="36">
        <f>-Y32*Y17</f>
        <v/>
      </c>
      <c r="Z35" s="36">
        <f>-Z32*Z17</f>
        <v/>
      </c>
      <c r="AA35" s="36">
        <f>-AA32*AA17</f>
        <v/>
      </c>
      <c r="AB35" s="36">
        <f>-AB32*AB17</f>
        <v/>
      </c>
      <c r="AC35" s="36">
        <f>-AC32*AC17</f>
        <v/>
      </c>
      <c r="AD35" s="36">
        <f>-AD32*AD17</f>
        <v/>
      </c>
      <c r="AE35" s="36">
        <f>-AE32*AE17</f>
        <v/>
      </c>
      <c r="AF35" s="36">
        <f>-AF32*AF17</f>
        <v/>
      </c>
      <c r="AG35" s="36">
        <f>-AG32*AG17</f>
        <v/>
      </c>
      <c r="AH35" s="36">
        <f>-AH32*AH17</f>
        <v/>
      </c>
      <c r="AI35" s="36">
        <f>-AI32*AI17</f>
        <v/>
      </c>
      <c r="AJ35" s="36">
        <f>-AJ32*AJ17</f>
        <v/>
      </c>
      <c r="AK35" s="36">
        <f>-AK32*AK17</f>
        <v/>
      </c>
      <c r="AL35" s="36">
        <f>-AL32*AL17</f>
        <v/>
      </c>
      <c r="AN35" s="36">
        <f>SUMIF($O$5:$AL$5,AN$5,$O35:$AL35)</f>
        <v/>
      </c>
      <c r="AO35" s="36">
        <f>SUMIF($O$5:$AL$5,AO$5,$O35:$AL35)</f>
        <v/>
      </c>
    </row>
    <row r="36">
      <c r="A36" s="37" t="inlineStr">
        <is>
          <t>Closing ARR</t>
        </is>
      </c>
      <c r="B36" s="38" t="inlineStr">
        <is>
          <t>GBP k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40">
        <f>inp_arr_open_mid</f>
        <v/>
      </c>
      <c r="O36" s="40">
        <f>SUM(O32:O35)</f>
        <v/>
      </c>
      <c r="P36" s="40">
        <f>SUM(P32:P35)</f>
        <v/>
      </c>
      <c r="Q36" s="40">
        <f>SUM(Q32:Q35)</f>
        <v/>
      </c>
      <c r="R36" s="40">
        <f>SUM(R32:R35)</f>
        <v/>
      </c>
      <c r="S36" s="40">
        <f>SUM(S32:S35)</f>
        <v/>
      </c>
      <c r="T36" s="40">
        <f>SUM(T32:T35)</f>
        <v/>
      </c>
      <c r="U36" s="40">
        <f>SUM(U32:U35)</f>
        <v/>
      </c>
      <c r="V36" s="40">
        <f>SUM(V32:V35)</f>
        <v/>
      </c>
      <c r="W36" s="40">
        <f>SUM(W32:W35)</f>
        <v/>
      </c>
      <c r="X36" s="40">
        <f>SUM(X32:X35)</f>
        <v/>
      </c>
      <c r="Y36" s="40">
        <f>SUM(Y32:Y35)</f>
        <v/>
      </c>
      <c r="Z36" s="40">
        <f>SUM(Z32:Z35)</f>
        <v/>
      </c>
      <c r="AA36" s="40">
        <f>SUM(AA32:AA35)</f>
        <v/>
      </c>
      <c r="AB36" s="40">
        <f>SUM(AB32:AB35)</f>
        <v/>
      </c>
      <c r="AC36" s="40">
        <f>SUM(AC32:AC35)</f>
        <v/>
      </c>
      <c r="AD36" s="40">
        <f>SUM(AD32:AD35)</f>
        <v/>
      </c>
      <c r="AE36" s="40">
        <f>SUM(AE32:AE35)</f>
        <v/>
      </c>
      <c r="AF36" s="40">
        <f>SUM(AF32:AF35)</f>
        <v/>
      </c>
      <c r="AG36" s="40">
        <f>SUM(AG32:AG35)</f>
        <v/>
      </c>
      <c r="AH36" s="40">
        <f>SUM(AH32:AH35)</f>
        <v/>
      </c>
      <c r="AI36" s="40">
        <f>SUM(AI32:AI35)</f>
        <v/>
      </c>
      <c r="AJ36" s="40">
        <f>SUM(AJ32:AJ35)</f>
        <v/>
      </c>
      <c r="AK36" s="40">
        <f>SUM(AK32:AK35)</f>
        <v/>
      </c>
      <c r="AL36" s="40">
        <f>SUM(AL32:AL35)</f>
        <v/>
      </c>
      <c r="AM36" s="39" t="n"/>
      <c r="AN36" s="40">
        <f>INDEX($O36:$AL36,1,AN$5*12)</f>
        <v/>
      </c>
      <c r="AO36" s="40">
        <f>INDEX($O36:$AL36,1,AO$5*12)</f>
        <v/>
      </c>
    </row>
    <row r="37">
      <c r="A37" s="5" t="inlineStr">
        <is>
          <t>Opening customers</t>
        </is>
      </c>
      <c r="B37" s="2" t="inlineStr">
        <is>
          <t>#</t>
        </is>
      </c>
      <c r="O37" s="34">
        <f>N40</f>
        <v/>
      </c>
      <c r="P37" s="34">
        <f>O40</f>
        <v/>
      </c>
      <c r="Q37" s="34">
        <f>P40</f>
        <v/>
      </c>
      <c r="R37" s="34">
        <f>Q40</f>
        <v/>
      </c>
      <c r="S37" s="34">
        <f>R40</f>
        <v/>
      </c>
      <c r="T37" s="34">
        <f>S40</f>
        <v/>
      </c>
      <c r="U37" s="34">
        <f>T40</f>
        <v/>
      </c>
      <c r="V37" s="34">
        <f>U40</f>
        <v/>
      </c>
      <c r="W37" s="34">
        <f>V40</f>
        <v/>
      </c>
      <c r="X37" s="34">
        <f>W40</f>
        <v/>
      </c>
      <c r="Y37" s="34">
        <f>X40</f>
        <v/>
      </c>
      <c r="Z37" s="34">
        <f>Y40</f>
        <v/>
      </c>
      <c r="AA37" s="34">
        <f>Z40</f>
        <v/>
      </c>
      <c r="AB37" s="34">
        <f>AA40</f>
        <v/>
      </c>
      <c r="AC37" s="34">
        <f>AB40</f>
        <v/>
      </c>
      <c r="AD37" s="34">
        <f>AC40</f>
        <v/>
      </c>
      <c r="AE37" s="34">
        <f>AD40</f>
        <v/>
      </c>
      <c r="AF37" s="34">
        <f>AE40</f>
        <v/>
      </c>
      <c r="AG37" s="34">
        <f>AF40</f>
        <v/>
      </c>
      <c r="AH37" s="34">
        <f>AG40</f>
        <v/>
      </c>
      <c r="AI37" s="34">
        <f>AH40</f>
        <v/>
      </c>
      <c r="AJ37" s="34">
        <f>AI40</f>
        <v/>
      </c>
      <c r="AK37" s="34">
        <f>AJ40</f>
        <v/>
      </c>
      <c r="AL37" s="34">
        <f>AK40</f>
        <v/>
      </c>
      <c r="AN37" s="34">
        <f>INDEX($O37:$AL37,1,(AN$5-1)*12+1)</f>
        <v/>
      </c>
      <c r="AO37" s="34">
        <f>INDEX($O37:$AL37,1,(AO$5-1)*12+1)</f>
        <v/>
      </c>
    </row>
    <row r="38">
      <c r="A38" s="5" t="inlineStr">
        <is>
          <t>+ New customers</t>
        </is>
      </c>
      <c r="B38" s="2" t="inlineStr">
        <is>
          <t>#</t>
        </is>
      </c>
      <c r="O38" s="34">
        <f>O15</f>
        <v/>
      </c>
      <c r="P38" s="34">
        <f>P15</f>
        <v/>
      </c>
      <c r="Q38" s="34">
        <f>Q15</f>
        <v/>
      </c>
      <c r="R38" s="34">
        <f>R15</f>
        <v/>
      </c>
      <c r="S38" s="34">
        <f>S15</f>
        <v/>
      </c>
      <c r="T38" s="34">
        <f>T15</f>
        <v/>
      </c>
      <c r="U38" s="34">
        <f>U15</f>
        <v/>
      </c>
      <c r="V38" s="34">
        <f>V15</f>
        <v/>
      </c>
      <c r="W38" s="34">
        <f>W15</f>
        <v/>
      </c>
      <c r="X38" s="34">
        <f>X15</f>
        <v/>
      </c>
      <c r="Y38" s="34">
        <f>Y15</f>
        <v/>
      </c>
      <c r="Z38" s="34">
        <f>Z15</f>
        <v/>
      </c>
      <c r="AA38" s="34">
        <f>AA15</f>
        <v/>
      </c>
      <c r="AB38" s="34">
        <f>AB15</f>
        <v/>
      </c>
      <c r="AC38" s="34">
        <f>AC15</f>
        <v/>
      </c>
      <c r="AD38" s="34">
        <f>AD15</f>
        <v/>
      </c>
      <c r="AE38" s="34">
        <f>AE15</f>
        <v/>
      </c>
      <c r="AF38" s="34">
        <f>AF15</f>
        <v/>
      </c>
      <c r="AG38" s="34">
        <f>AG15</f>
        <v/>
      </c>
      <c r="AH38" s="34">
        <f>AH15</f>
        <v/>
      </c>
      <c r="AI38" s="34">
        <f>AI15</f>
        <v/>
      </c>
      <c r="AJ38" s="34">
        <f>AJ15</f>
        <v/>
      </c>
      <c r="AK38" s="34">
        <f>AK15</f>
        <v/>
      </c>
      <c r="AL38" s="34">
        <f>AL15</f>
        <v/>
      </c>
      <c r="AN38" s="34">
        <f>SUMIF($O$5:$AL$5,AN$5,$O38:$AL38)</f>
        <v/>
      </c>
      <c r="AO38" s="34">
        <f>SUMIF($O$5:$AL$5,AO$5,$O38:$AL38)</f>
        <v/>
      </c>
    </row>
    <row r="39">
      <c r="A39" s="5" t="inlineStr">
        <is>
          <t>- Churned customers</t>
        </is>
      </c>
      <c r="B39" s="2" t="inlineStr">
        <is>
          <t>#</t>
        </is>
      </c>
      <c r="O39" s="34">
        <f>-O37*O17</f>
        <v/>
      </c>
      <c r="P39" s="34">
        <f>-P37*P17</f>
        <v/>
      </c>
      <c r="Q39" s="34">
        <f>-Q37*Q17</f>
        <v/>
      </c>
      <c r="R39" s="34">
        <f>-R37*R17</f>
        <v/>
      </c>
      <c r="S39" s="34">
        <f>-S37*S17</f>
        <v/>
      </c>
      <c r="T39" s="34">
        <f>-T37*T17</f>
        <v/>
      </c>
      <c r="U39" s="34">
        <f>-U37*U17</f>
        <v/>
      </c>
      <c r="V39" s="34">
        <f>-V37*V17</f>
        <v/>
      </c>
      <c r="W39" s="34">
        <f>-W37*W17</f>
        <v/>
      </c>
      <c r="X39" s="34">
        <f>-X37*X17</f>
        <v/>
      </c>
      <c r="Y39" s="34">
        <f>-Y37*Y17</f>
        <v/>
      </c>
      <c r="Z39" s="34">
        <f>-Z37*Z17</f>
        <v/>
      </c>
      <c r="AA39" s="34">
        <f>-AA37*AA17</f>
        <v/>
      </c>
      <c r="AB39" s="34">
        <f>-AB37*AB17</f>
        <v/>
      </c>
      <c r="AC39" s="34">
        <f>-AC37*AC17</f>
        <v/>
      </c>
      <c r="AD39" s="34">
        <f>-AD37*AD17</f>
        <v/>
      </c>
      <c r="AE39" s="34">
        <f>-AE37*AE17</f>
        <v/>
      </c>
      <c r="AF39" s="34">
        <f>-AF37*AF17</f>
        <v/>
      </c>
      <c r="AG39" s="34">
        <f>-AG37*AG17</f>
        <v/>
      </c>
      <c r="AH39" s="34">
        <f>-AH37*AH17</f>
        <v/>
      </c>
      <c r="AI39" s="34">
        <f>-AI37*AI17</f>
        <v/>
      </c>
      <c r="AJ39" s="34">
        <f>-AJ37*AJ17</f>
        <v/>
      </c>
      <c r="AK39" s="34">
        <f>-AK37*AK17</f>
        <v/>
      </c>
      <c r="AL39" s="34">
        <f>-AL37*AL17</f>
        <v/>
      </c>
      <c r="AN39" s="34">
        <f>SUMIF($O$5:$AL$5,AN$5,$O39:$AL39)</f>
        <v/>
      </c>
      <c r="AO39" s="34">
        <f>SUMIF($O$5:$AL$5,AO$5,$O39:$AL39)</f>
        <v/>
      </c>
    </row>
    <row r="40">
      <c r="A40" s="37" t="inlineStr">
        <is>
          <t>Closing customers</t>
        </is>
      </c>
      <c r="B40" s="38" t="inlineStr">
        <is>
          <t>#</t>
        </is>
      </c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41">
        <f>inp_cust_open_mid</f>
        <v/>
      </c>
      <c r="O40" s="41">
        <f>SUM(O37:O39)</f>
        <v/>
      </c>
      <c r="P40" s="41">
        <f>SUM(P37:P39)</f>
        <v/>
      </c>
      <c r="Q40" s="41">
        <f>SUM(Q37:Q39)</f>
        <v/>
      </c>
      <c r="R40" s="41">
        <f>SUM(R37:R39)</f>
        <v/>
      </c>
      <c r="S40" s="41">
        <f>SUM(S37:S39)</f>
        <v/>
      </c>
      <c r="T40" s="41">
        <f>SUM(T37:T39)</f>
        <v/>
      </c>
      <c r="U40" s="41">
        <f>SUM(U37:U39)</f>
        <v/>
      </c>
      <c r="V40" s="41">
        <f>SUM(V37:V39)</f>
        <v/>
      </c>
      <c r="W40" s="41">
        <f>SUM(W37:W39)</f>
        <v/>
      </c>
      <c r="X40" s="41">
        <f>SUM(X37:X39)</f>
        <v/>
      </c>
      <c r="Y40" s="41">
        <f>SUM(Y37:Y39)</f>
        <v/>
      </c>
      <c r="Z40" s="41">
        <f>SUM(Z37:Z39)</f>
        <v/>
      </c>
      <c r="AA40" s="41">
        <f>SUM(AA37:AA39)</f>
        <v/>
      </c>
      <c r="AB40" s="41">
        <f>SUM(AB37:AB39)</f>
        <v/>
      </c>
      <c r="AC40" s="41">
        <f>SUM(AC37:AC39)</f>
        <v/>
      </c>
      <c r="AD40" s="41">
        <f>SUM(AD37:AD39)</f>
        <v/>
      </c>
      <c r="AE40" s="41">
        <f>SUM(AE37:AE39)</f>
        <v/>
      </c>
      <c r="AF40" s="41">
        <f>SUM(AF37:AF39)</f>
        <v/>
      </c>
      <c r="AG40" s="41">
        <f>SUM(AG37:AG39)</f>
        <v/>
      </c>
      <c r="AH40" s="41">
        <f>SUM(AH37:AH39)</f>
        <v/>
      </c>
      <c r="AI40" s="41">
        <f>SUM(AI37:AI39)</f>
        <v/>
      </c>
      <c r="AJ40" s="41">
        <f>SUM(AJ37:AJ39)</f>
        <v/>
      </c>
      <c r="AK40" s="41">
        <f>SUM(AK37:AK39)</f>
        <v/>
      </c>
      <c r="AL40" s="41">
        <f>SUM(AL37:AL39)</f>
        <v/>
      </c>
      <c r="AM40" s="39" t="n"/>
      <c r="AN40" s="41">
        <f>INDEX($O40:$AL40,1,AN$5*12)</f>
        <v/>
      </c>
      <c r="AO40" s="41">
        <f>INDEX($O40:$AL40,1,AO$5*12)</f>
        <v/>
      </c>
    </row>
    <row r="42">
      <c r="A42" s="13" t="inlineStr">
        <is>
          <t>Total company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5" t="inlineStr">
        <is>
          <t>Opening ARR</t>
        </is>
      </c>
      <c r="B43" s="2" t="inlineStr">
        <is>
          <t>GBP k</t>
        </is>
      </c>
      <c r="O43" s="36">
        <f>O21+O32</f>
        <v/>
      </c>
      <c r="P43" s="36">
        <f>P21+P32</f>
        <v/>
      </c>
      <c r="Q43" s="36">
        <f>Q21+Q32</f>
        <v/>
      </c>
      <c r="R43" s="36">
        <f>R21+R32</f>
        <v/>
      </c>
      <c r="S43" s="36">
        <f>S21+S32</f>
        <v/>
      </c>
      <c r="T43" s="36">
        <f>T21+T32</f>
        <v/>
      </c>
      <c r="U43" s="36">
        <f>U21+U32</f>
        <v/>
      </c>
      <c r="V43" s="36">
        <f>V21+V32</f>
        <v/>
      </c>
      <c r="W43" s="36">
        <f>W21+W32</f>
        <v/>
      </c>
      <c r="X43" s="36">
        <f>X21+X32</f>
        <v/>
      </c>
      <c r="Y43" s="36">
        <f>Y21+Y32</f>
        <v/>
      </c>
      <c r="Z43" s="36">
        <f>Z21+Z32</f>
        <v/>
      </c>
      <c r="AA43" s="36">
        <f>AA21+AA32</f>
        <v/>
      </c>
      <c r="AB43" s="36">
        <f>AB21+AB32</f>
        <v/>
      </c>
      <c r="AC43" s="36">
        <f>AC21+AC32</f>
        <v/>
      </c>
      <c r="AD43" s="36">
        <f>AD21+AD32</f>
        <v/>
      </c>
      <c r="AE43" s="36">
        <f>AE21+AE32</f>
        <v/>
      </c>
      <c r="AF43" s="36">
        <f>AF21+AF32</f>
        <v/>
      </c>
      <c r="AG43" s="36">
        <f>AG21+AG32</f>
        <v/>
      </c>
      <c r="AH43" s="36">
        <f>AH21+AH32</f>
        <v/>
      </c>
      <c r="AI43" s="36">
        <f>AI21+AI32</f>
        <v/>
      </c>
      <c r="AJ43" s="36">
        <f>AJ21+AJ32</f>
        <v/>
      </c>
      <c r="AK43" s="36">
        <f>AK21+AK32</f>
        <v/>
      </c>
      <c r="AL43" s="36">
        <f>AL21+AL32</f>
        <v/>
      </c>
      <c r="AN43" s="36">
        <f>INDEX($O43:$AL43,1,(AN$5-1)*12+1)</f>
        <v/>
      </c>
      <c r="AO43" s="36">
        <f>INDEX($O43:$AL43,1,(AO$5-1)*12+1)</f>
        <v/>
      </c>
    </row>
    <row r="44">
      <c r="A44" s="5" t="inlineStr">
        <is>
          <t>+ New logos</t>
        </is>
      </c>
      <c r="B44" s="2" t="inlineStr">
        <is>
          <t>GBP k</t>
        </is>
      </c>
      <c r="O44" s="36">
        <f>O22+O33</f>
        <v/>
      </c>
      <c r="P44" s="36">
        <f>P22+P33</f>
        <v/>
      </c>
      <c r="Q44" s="36">
        <f>Q22+Q33</f>
        <v/>
      </c>
      <c r="R44" s="36">
        <f>R22+R33</f>
        <v/>
      </c>
      <c r="S44" s="36">
        <f>S22+S33</f>
        <v/>
      </c>
      <c r="T44" s="36">
        <f>T22+T33</f>
        <v/>
      </c>
      <c r="U44" s="36">
        <f>U22+U33</f>
        <v/>
      </c>
      <c r="V44" s="36">
        <f>V22+V33</f>
        <v/>
      </c>
      <c r="W44" s="36">
        <f>W22+W33</f>
        <v/>
      </c>
      <c r="X44" s="36">
        <f>X22+X33</f>
        <v/>
      </c>
      <c r="Y44" s="36">
        <f>Y22+Y33</f>
        <v/>
      </c>
      <c r="Z44" s="36">
        <f>Z22+Z33</f>
        <v/>
      </c>
      <c r="AA44" s="36">
        <f>AA22+AA33</f>
        <v/>
      </c>
      <c r="AB44" s="36">
        <f>AB22+AB33</f>
        <v/>
      </c>
      <c r="AC44" s="36">
        <f>AC22+AC33</f>
        <v/>
      </c>
      <c r="AD44" s="36">
        <f>AD22+AD33</f>
        <v/>
      </c>
      <c r="AE44" s="36">
        <f>AE22+AE33</f>
        <v/>
      </c>
      <c r="AF44" s="36">
        <f>AF22+AF33</f>
        <v/>
      </c>
      <c r="AG44" s="36">
        <f>AG22+AG33</f>
        <v/>
      </c>
      <c r="AH44" s="36">
        <f>AH22+AH33</f>
        <v/>
      </c>
      <c r="AI44" s="36">
        <f>AI22+AI33</f>
        <v/>
      </c>
      <c r="AJ44" s="36">
        <f>AJ22+AJ33</f>
        <v/>
      </c>
      <c r="AK44" s="36">
        <f>AK22+AK33</f>
        <v/>
      </c>
      <c r="AL44" s="36">
        <f>AL22+AL33</f>
        <v/>
      </c>
      <c r="AN44" s="36">
        <f>SUMIF($O$5:$AL$5,AN$5,$O44:$AL44)</f>
        <v/>
      </c>
      <c r="AO44" s="36">
        <f>SUMIF($O$5:$AL$5,AO$5,$O44:$AL44)</f>
        <v/>
      </c>
    </row>
    <row r="45">
      <c r="A45" s="5" t="inlineStr">
        <is>
          <t>+ Expansion</t>
        </is>
      </c>
      <c r="B45" s="2" t="inlineStr">
        <is>
          <t>GBP k</t>
        </is>
      </c>
      <c r="O45" s="36">
        <f>O23+O34</f>
        <v/>
      </c>
      <c r="P45" s="36">
        <f>P23+P34</f>
        <v/>
      </c>
      <c r="Q45" s="36">
        <f>Q23+Q34</f>
        <v/>
      </c>
      <c r="R45" s="36">
        <f>R23+R34</f>
        <v/>
      </c>
      <c r="S45" s="36">
        <f>S23+S34</f>
        <v/>
      </c>
      <c r="T45" s="36">
        <f>T23+T34</f>
        <v/>
      </c>
      <c r="U45" s="36">
        <f>U23+U34</f>
        <v/>
      </c>
      <c r="V45" s="36">
        <f>V23+V34</f>
        <v/>
      </c>
      <c r="W45" s="36">
        <f>W23+W34</f>
        <v/>
      </c>
      <c r="X45" s="36">
        <f>X23+X34</f>
        <v/>
      </c>
      <c r="Y45" s="36">
        <f>Y23+Y34</f>
        <v/>
      </c>
      <c r="Z45" s="36">
        <f>Z23+Z34</f>
        <v/>
      </c>
      <c r="AA45" s="36">
        <f>AA23+AA34</f>
        <v/>
      </c>
      <c r="AB45" s="36">
        <f>AB23+AB34</f>
        <v/>
      </c>
      <c r="AC45" s="36">
        <f>AC23+AC34</f>
        <v/>
      </c>
      <c r="AD45" s="36">
        <f>AD23+AD34</f>
        <v/>
      </c>
      <c r="AE45" s="36">
        <f>AE23+AE34</f>
        <v/>
      </c>
      <c r="AF45" s="36">
        <f>AF23+AF34</f>
        <v/>
      </c>
      <c r="AG45" s="36">
        <f>AG23+AG34</f>
        <v/>
      </c>
      <c r="AH45" s="36">
        <f>AH23+AH34</f>
        <v/>
      </c>
      <c r="AI45" s="36">
        <f>AI23+AI34</f>
        <v/>
      </c>
      <c r="AJ45" s="36">
        <f>AJ23+AJ34</f>
        <v/>
      </c>
      <c r="AK45" s="36">
        <f>AK23+AK34</f>
        <v/>
      </c>
      <c r="AL45" s="36">
        <f>AL23+AL34</f>
        <v/>
      </c>
      <c r="AN45" s="36">
        <f>SUMIF($O$5:$AL$5,AN$5,$O45:$AL45)</f>
        <v/>
      </c>
      <c r="AO45" s="36">
        <f>SUMIF($O$5:$AL$5,AO$5,$O45:$AL45)</f>
        <v/>
      </c>
    </row>
    <row r="46">
      <c r="A46" s="5" t="inlineStr">
        <is>
          <t>- Churn</t>
        </is>
      </c>
      <c r="B46" s="2" t="inlineStr">
        <is>
          <t>GBP k</t>
        </is>
      </c>
      <c r="O46" s="36">
        <f>O24+O35</f>
        <v/>
      </c>
      <c r="P46" s="36">
        <f>P24+P35</f>
        <v/>
      </c>
      <c r="Q46" s="36">
        <f>Q24+Q35</f>
        <v/>
      </c>
      <c r="R46" s="36">
        <f>R24+R35</f>
        <v/>
      </c>
      <c r="S46" s="36">
        <f>S24+S35</f>
        <v/>
      </c>
      <c r="T46" s="36">
        <f>T24+T35</f>
        <v/>
      </c>
      <c r="U46" s="36">
        <f>U24+U35</f>
        <v/>
      </c>
      <c r="V46" s="36">
        <f>V24+V35</f>
        <v/>
      </c>
      <c r="W46" s="36">
        <f>W24+W35</f>
        <v/>
      </c>
      <c r="X46" s="36">
        <f>X24+X35</f>
        <v/>
      </c>
      <c r="Y46" s="36">
        <f>Y24+Y35</f>
        <v/>
      </c>
      <c r="Z46" s="36">
        <f>Z24+Z35</f>
        <v/>
      </c>
      <c r="AA46" s="36">
        <f>AA24+AA35</f>
        <v/>
      </c>
      <c r="AB46" s="36">
        <f>AB24+AB35</f>
        <v/>
      </c>
      <c r="AC46" s="36">
        <f>AC24+AC35</f>
        <v/>
      </c>
      <c r="AD46" s="36">
        <f>AD24+AD35</f>
        <v/>
      </c>
      <c r="AE46" s="36">
        <f>AE24+AE35</f>
        <v/>
      </c>
      <c r="AF46" s="36">
        <f>AF24+AF35</f>
        <v/>
      </c>
      <c r="AG46" s="36">
        <f>AG24+AG35</f>
        <v/>
      </c>
      <c r="AH46" s="36">
        <f>AH24+AH35</f>
        <v/>
      </c>
      <c r="AI46" s="36">
        <f>AI24+AI35</f>
        <v/>
      </c>
      <c r="AJ46" s="36">
        <f>AJ24+AJ35</f>
        <v/>
      </c>
      <c r="AK46" s="36">
        <f>AK24+AK35</f>
        <v/>
      </c>
      <c r="AL46" s="36">
        <f>AL24+AL35</f>
        <v/>
      </c>
      <c r="AN46" s="36">
        <f>SUMIF($O$5:$AL$5,AN$5,$O46:$AL46)</f>
        <v/>
      </c>
      <c r="AO46" s="36">
        <f>SUMIF($O$5:$AL$5,AO$5,$O46:$AL46)</f>
        <v/>
      </c>
    </row>
    <row r="47">
      <c r="A47" s="37" t="inlineStr">
        <is>
          <t>Closing ARR</t>
        </is>
      </c>
      <c r="B47" s="38" t="inlineStr">
        <is>
          <t>GBP k</t>
        </is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40">
        <f>N25+N36</f>
        <v/>
      </c>
      <c r="O47" s="40">
        <f>SUM(O43:O46)</f>
        <v/>
      </c>
      <c r="P47" s="40">
        <f>SUM(P43:P46)</f>
        <v/>
      </c>
      <c r="Q47" s="40">
        <f>SUM(Q43:Q46)</f>
        <v/>
      </c>
      <c r="R47" s="40">
        <f>SUM(R43:R46)</f>
        <v/>
      </c>
      <c r="S47" s="40">
        <f>SUM(S43:S46)</f>
        <v/>
      </c>
      <c r="T47" s="40">
        <f>SUM(T43:T46)</f>
        <v/>
      </c>
      <c r="U47" s="40">
        <f>SUM(U43:U46)</f>
        <v/>
      </c>
      <c r="V47" s="40">
        <f>SUM(V43:V46)</f>
        <v/>
      </c>
      <c r="W47" s="40">
        <f>SUM(W43:W46)</f>
        <v/>
      </c>
      <c r="X47" s="40">
        <f>SUM(X43:X46)</f>
        <v/>
      </c>
      <c r="Y47" s="40">
        <f>SUM(Y43:Y46)</f>
        <v/>
      </c>
      <c r="Z47" s="40">
        <f>SUM(Z43:Z46)</f>
        <v/>
      </c>
      <c r="AA47" s="40">
        <f>SUM(AA43:AA46)</f>
        <v/>
      </c>
      <c r="AB47" s="40">
        <f>SUM(AB43:AB46)</f>
        <v/>
      </c>
      <c r="AC47" s="40">
        <f>SUM(AC43:AC46)</f>
        <v/>
      </c>
      <c r="AD47" s="40">
        <f>SUM(AD43:AD46)</f>
        <v/>
      </c>
      <c r="AE47" s="40">
        <f>SUM(AE43:AE46)</f>
        <v/>
      </c>
      <c r="AF47" s="40">
        <f>SUM(AF43:AF46)</f>
        <v/>
      </c>
      <c r="AG47" s="40">
        <f>SUM(AG43:AG46)</f>
        <v/>
      </c>
      <c r="AH47" s="40">
        <f>SUM(AH43:AH46)</f>
        <v/>
      </c>
      <c r="AI47" s="40">
        <f>SUM(AI43:AI46)</f>
        <v/>
      </c>
      <c r="AJ47" s="40">
        <f>SUM(AJ43:AJ46)</f>
        <v/>
      </c>
      <c r="AK47" s="40">
        <f>SUM(AK43:AK46)</f>
        <v/>
      </c>
      <c r="AL47" s="40">
        <f>SUM(AL43:AL46)</f>
        <v/>
      </c>
      <c r="AM47" s="39" t="n"/>
      <c r="AN47" s="40">
        <f>INDEX($O47:$AL47,1,AN$5*12)</f>
        <v/>
      </c>
      <c r="AO47" s="40">
        <f>INDEX($O47:$AL47,1,AO$5*12)</f>
        <v/>
      </c>
    </row>
    <row r="48">
      <c r="A48" s="5" t="inlineStr">
        <is>
          <t>Opening customers</t>
        </is>
      </c>
      <c r="B48" s="2" t="inlineStr">
        <is>
          <t>#</t>
        </is>
      </c>
      <c r="O48" s="34">
        <f>O26+O37</f>
        <v/>
      </c>
      <c r="P48" s="34">
        <f>P26+P37</f>
        <v/>
      </c>
      <c r="Q48" s="34">
        <f>Q26+Q37</f>
        <v/>
      </c>
      <c r="R48" s="34">
        <f>R26+R37</f>
        <v/>
      </c>
      <c r="S48" s="34">
        <f>S26+S37</f>
        <v/>
      </c>
      <c r="T48" s="34">
        <f>T26+T37</f>
        <v/>
      </c>
      <c r="U48" s="34">
        <f>U26+U37</f>
        <v/>
      </c>
      <c r="V48" s="34">
        <f>V26+V37</f>
        <v/>
      </c>
      <c r="W48" s="34">
        <f>W26+W37</f>
        <v/>
      </c>
      <c r="X48" s="34">
        <f>X26+X37</f>
        <v/>
      </c>
      <c r="Y48" s="34">
        <f>Y26+Y37</f>
        <v/>
      </c>
      <c r="Z48" s="34">
        <f>Z26+Z37</f>
        <v/>
      </c>
      <c r="AA48" s="34">
        <f>AA26+AA37</f>
        <v/>
      </c>
      <c r="AB48" s="34">
        <f>AB26+AB37</f>
        <v/>
      </c>
      <c r="AC48" s="34">
        <f>AC26+AC37</f>
        <v/>
      </c>
      <c r="AD48" s="34">
        <f>AD26+AD37</f>
        <v/>
      </c>
      <c r="AE48" s="34">
        <f>AE26+AE37</f>
        <v/>
      </c>
      <c r="AF48" s="34">
        <f>AF26+AF37</f>
        <v/>
      </c>
      <c r="AG48" s="34">
        <f>AG26+AG37</f>
        <v/>
      </c>
      <c r="AH48" s="34">
        <f>AH26+AH37</f>
        <v/>
      </c>
      <c r="AI48" s="34">
        <f>AI26+AI37</f>
        <v/>
      </c>
      <c r="AJ48" s="34">
        <f>AJ26+AJ37</f>
        <v/>
      </c>
      <c r="AK48" s="34">
        <f>AK26+AK37</f>
        <v/>
      </c>
      <c r="AL48" s="34">
        <f>AL26+AL37</f>
        <v/>
      </c>
      <c r="AN48" s="34">
        <f>INDEX($O48:$AL48,1,(AN$5-1)*12+1)</f>
        <v/>
      </c>
      <c r="AO48" s="34">
        <f>INDEX($O48:$AL48,1,(AO$5-1)*12+1)</f>
        <v/>
      </c>
    </row>
    <row r="49">
      <c r="A49" s="5" t="inlineStr">
        <is>
          <t>+ New customers</t>
        </is>
      </c>
      <c r="B49" s="2" t="inlineStr">
        <is>
          <t>#</t>
        </is>
      </c>
      <c r="O49" s="34">
        <f>O27+O38</f>
        <v/>
      </c>
      <c r="P49" s="34">
        <f>P27+P38</f>
        <v/>
      </c>
      <c r="Q49" s="34">
        <f>Q27+Q38</f>
        <v/>
      </c>
      <c r="R49" s="34">
        <f>R27+R38</f>
        <v/>
      </c>
      <c r="S49" s="34">
        <f>S27+S38</f>
        <v/>
      </c>
      <c r="T49" s="34">
        <f>T27+T38</f>
        <v/>
      </c>
      <c r="U49" s="34">
        <f>U27+U38</f>
        <v/>
      </c>
      <c r="V49" s="34">
        <f>V27+V38</f>
        <v/>
      </c>
      <c r="W49" s="34">
        <f>W27+W38</f>
        <v/>
      </c>
      <c r="X49" s="34">
        <f>X27+X38</f>
        <v/>
      </c>
      <c r="Y49" s="34">
        <f>Y27+Y38</f>
        <v/>
      </c>
      <c r="Z49" s="34">
        <f>Z27+Z38</f>
        <v/>
      </c>
      <c r="AA49" s="34">
        <f>AA27+AA38</f>
        <v/>
      </c>
      <c r="AB49" s="34">
        <f>AB27+AB38</f>
        <v/>
      </c>
      <c r="AC49" s="34">
        <f>AC27+AC38</f>
        <v/>
      </c>
      <c r="AD49" s="34">
        <f>AD27+AD38</f>
        <v/>
      </c>
      <c r="AE49" s="34">
        <f>AE27+AE38</f>
        <v/>
      </c>
      <c r="AF49" s="34">
        <f>AF27+AF38</f>
        <v/>
      </c>
      <c r="AG49" s="34">
        <f>AG27+AG38</f>
        <v/>
      </c>
      <c r="AH49" s="34">
        <f>AH27+AH38</f>
        <v/>
      </c>
      <c r="AI49" s="34">
        <f>AI27+AI38</f>
        <v/>
      </c>
      <c r="AJ49" s="34">
        <f>AJ27+AJ38</f>
        <v/>
      </c>
      <c r="AK49" s="34">
        <f>AK27+AK38</f>
        <v/>
      </c>
      <c r="AL49" s="34">
        <f>AL27+AL38</f>
        <v/>
      </c>
      <c r="AN49" s="34">
        <f>SUMIF($O$5:$AL$5,AN$5,$O49:$AL49)</f>
        <v/>
      </c>
      <c r="AO49" s="34">
        <f>SUMIF($O$5:$AL$5,AO$5,$O49:$AL49)</f>
        <v/>
      </c>
    </row>
    <row r="50">
      <c r="A50" s="5" t="inlineStr">
        <is>
          <t>- Churned customers</t>
        </is>
      </c>
      <c r="B50" s="2" t="inlineStr">
        <is>
          <t>#</t>
        </is>
      </c>
      <c r="O50" s="34">
        <f>O28+O39</f>
        <v/>
      </c>
      <c r="P50" s="34">
        <f>P28+P39</f>
        <v/>
      </c>
      <c r="Q50" s="34">
        <f>Q28+Q39</f>
        <v/>
      </c>
      <c r="R50" s="34">
        <f>R28+R39</f>
        <v/>
      </c>
      <c r="S50" s="34">
        <f>S28+S39</f>
        <v/>
      </c>
      <c r="T50" s="34">
        <f>T28+T39</f>
        <v/>
      </c>
      <c r="U50" s="34">
        <f>U28+U39</f>
        <v/>
      </c>
      <c r="V50" s="34">
        <f>V28+V39</f>
        <v/>
      </c>
      <c r="W50" s="34">
        <f>W28+W39</f>
        <v/>
      </c>
      <c r="X50" s="34">
        <f>X28+X39</f>
        <v/>
      </c>
      <c r="Y50" s="34">
        <f>Y28+Y39</f>
        <v/>
      </c>
      <c r="Z50" s="34">
        <f>Z28+Z39</f>
        <v/>
      </c>
      <c r="AA50" s="34">
        <f>AA28+AA39</f>
        <v/>
      </c>
      <c r="AB50" s="34">
        <f>AB28+AB39</f>
        <v/>
      </c>
      <c r="AC50" s="34">
        <f>AC28+AC39</f>
        <v/>
      </c>
      <c r="AD50" s="34">
        <f>AD28+AD39</f>
        <v/>
      </c>
      <c r="AE50" s="34">
        <f>AE28+AE39</f>
        <v/>
      </c>
      <c r="AF50" s="34">
        <f>AF28+AF39</f>
        <v/>
      </c>
      <c r="AG50" s="34">
        <f>AG28+AG39</f>
        <v/>
      </c>
      <c r="AH50" s="34">
        <f>AH28+AH39</f>
        <v/>
      </c>
      <c r="AI50" s="34">
        <f>AI28+AI39</f>
        <v/>
      </c>
      <c r="AJ50" s="34">
        <f>AJ28+AJ39</f>
        <v/>
      </c>
      <c r="AK50" s="34">
        <f>AK28+AK39</f>
        <v/>
      </c>
      <c r="AL50" s="34">
        <f>AL28+AL39</f>
        <v/>
      </c>
      <c r="AN50" s="34">
        <f>SUMIF($O$5:$AL$5,AN$5,$O50:$AL50)</f>
        <v/>
      </c>
      <c r="AO50" s="34">
        <f>SUMIF($O$5:$AL$5,AO$5,$O50:$AL50)</f>
        <v/>
      </c>
    </row>
    <row r="51">
      <c r="A51" s="37" t="inlineStr">
        <is>
          <t>Closing customers</t>
        </is>
      </c>
      <c r="B51" s="38" t="inlineStr">
        <is>
          <t>#</t>
        </is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41">
        <f>N29+N40</f>
        <v/>
      </c>
      <c r="O51" s="41">
        <f>SUM(O48:O50)</f>
        <v/>
      </c>
      <c r="P51" s="41">
        <f>SUM(P48:P50)</f>
        <v/>
      </c>
      <c r="Q51" s="41">
        <f>SUM(Q48:Q50)</f>
        <v/>
      </c>
      <c r="R51" s="41">
        <f>SUM(R48:R50)</f>
        <v/>
      </c>
      <c r="S51" s="41">
        <f>SUM(S48:S50)</f>
        <v/>
      </c>
      <c r="T51" s="41">
        <f>SUM(T48:T50)</f>
        <v/>
      </c>
      <c r="U51" s="41">
        <f>SUM(U48:U50)</f>
        <v/>
      </c>
      <c r="V51" s="41">
        <f>SUM(V48:V50)</f>
        <v/>
      </c>
      <c r="W51" s="41">
        <f>SUM(W48:W50)</f>
        <v/>
      </c>
      <c r="X51" s="41">
        <f>SUM(X48:X50)</f>
        <v/>
      </c>
      <c r="Y51" s="41">
        <f>SUM(Y48:Y50)</f>
        <v/>
      </c>
      <c r="Z51" s="41">
        <f>SUM(Z48:Z50)</f>
        <v/>
      </c>
      <c r="AA51" s="41">
        <f>SUM(AA48:AA50)</f>
        <v/>
      </c>
      <c r="AB51" s="41">
        <f>SUM(AB48:AB50)</f>
        <v/>
      </c>
      <c r="AC51" s="41">
        <f>SUM(AC48:AC50)</f>
        <v/>
      </c>
      <c r="AD51" s="41">
        <f>SUM(AD48:AD50)</f>
        <v/>
      </c>
      <c r="AE51" s="41">
        <f>SUM(AE48:AE50)</f>
        <v/>
      </c>
      <c r="AF51" s="41">
        <f>SUM(AF48:AF50)</f>
        <v/>
      </c>
      <c r="AG51" s="41">
        <f>SUM(AG48:AG50)</f>
        <v/>
      </c>
      <c r="AH51" s="41">
        <f>SUM(AH48:AH50)</f>
        <v/>
      </c>
      <c r="AI51" s="41">
        <f>SUM(AI48:AI50)</f>
        <v/>
      </c>
      <c r="AJ51" s="41">
        <f>SUM(AJ48:AJ50)</f>
        <v/>
      </c>
      <c r="AK51" s="41">
        <f>SUM(AK48:AK50)</f>
        <v/>
      </c>
      <c r="AL51" s="41">
        <f>SUM(AL48:AL50)</f>
        <v/>
      </c>
      <c r="AM51" s="39" t="n"/>
      <c r="AN51" s="41">
        <f>INDEX($O51:$AL51,1,AN$5*12)</f>
        <v/>
      </c>
      <c r="AO51" s="41">
        <f>INDEX($O51:$AL51,1,AO$5*12)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Rev_Rec - billings, ratable revenue (IFRS 15) and deferred revenue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Subscription invoices raised (annual upfront). Columns C:N hold the opening-year billing history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Invoices raised - Enterprise</t>
        </is>
      </c>
      <c r="B9" s="2" t="inlineStr">
        <is>
          <t>GBP k</t>
        </is>
      </c>
      <c r="C9" s="36">
        <f>inp_arr_open_ent/12</f>
        <v/>
      </c>
      <c r="D9" s="36">
        <f>inp_arr_open_ent/12</f>
        <v/>
      </c>
      <c r="E9" s="36">
        <f>inp_arr_open_ent/12</f>
        <v/>
      </c>
      <c r="F9" s="36">
        <f>inp_arr_open_ent/12</f>
        <v/>
      </c>
      <c r="G9" s="36">
        <f>inp_arr_open_ent/12</f>
        <v/>
      </c>
      <c r="H9" s="36">
        <f>inp_arr_open_ent/12</f>
        <v/>
      </c>
      <c r="I9" s="36">
        <f>inp_arr_open_ent/12</f>
        <v/>
      </c>
      <c r="J9" s="36">
        <f>inp_arr_open_ent/12</f>
        <v/>
      </c>
      <c r="K9" s="36">
        <f>inp_arr_open_ent/12</f>
        <v/>
      </c>
      <c r="L9" s="36">
        <f>inp_arr_open_ent/12</f>
        <v/>
      </c>
      <c r="M9" s="36">
        <f>inp_arr_open_ent/12</f>
        <v/>
      </c>
      <c r="N9" s="36">
        <f>inp_arr_open_ent/12</f>
        <v/>
      </c>
      <c r="O9" s="36">
        <f>Rev_Build!O22+(1+inp_exp_ent-inp_churn_ent)*C9</f>
        <v/>
      </c>
      <c r="P9" s="36">
        <f>Rev_Build!P22+(1+inp_exp_ent-inp_churn_ent)*D9</f>
        <v/>
      </c>
      <c r="Q9" s="36">
        <f>Rev_Build!Q22+(1+inp_exp_ent-inp_churn_ent)*E9</f>
        <v/>
      </c>
      <c r="R9" s="36">
        <f>Rev_Build!R22+(1+inp_exp_ent-inp_churn_ent)*F9</f>
        <v/>
      </c>
      <c r="S9" s="36">
        <f>Rev_Build!S22+(1+inp_exp_ent-inp_churn_ent)*G9</f>
        <v/>
      </c>
      <c r="T9" s="36">
        <f>Rev_Build!T22+(1+inp_exp_ent-inp_churn_ent)*H9</f>
        <v/>
      </c>
      <c r="U9" s="36">
        <f>Rev_Build!U22+(1+inp_exp_ent-inp_churn_ent)*I9</f>
        <v/>
      </c>
      <c r="V9" s="36">
        <f>Rev_Build!V22+(1+inp_exp_ent-inp_churn_ent)*J9</f>
        <v/>
      </c>
      <c r="W9" s="36">
        <f>Rev_Build!W22+(1+inp_exp_ent-inp_churn_ent)*K9</f>
        <v/>
      </c>
      <c r="X9" s="36">
        <f>Rev_Build!X22+(1+inp_exp_ent-inp_churn_ent)*L9</f>
        <v/>
      </c>
      <c r="Y9" s="36">
        <f>Rev_Build!Y22+(1+inp_exp_ent-inp_churn_ent)*M9</f>
        <v/>
      </c>
      <c r="Z9" s="36">
        <f>Rev_Build!Z22+(1+inp_exp_ent-inp_churn_ent)*N9</f>
        <v/>
      </c>
      <c r="AA9" s="36">
        <f>Rev_Build!AA22+(1+inp_exp_ent-inp_churn_ent)*O9</f>
        <v/>
      </c>
      <c r="AB9" s="36">
        <f>Rev_Build!AB22+(1+inp_exp_ent-inp_churn_ent)*P9</f>
        <v/>
      </c>
      <c r="AC9" s="36">
        <f>Rev_Build!AC22+(1+inp_exp_ent-inp_churn_ent)*Q9</f>
        <v/>
      </c>
      <c r="AD9" s="36">
        <f>Rev_Build!AD22+(1+inp_exp_ent-inp_churn_ent)*R9</f>
        <v/>
      </c>
      <c r="AE9" s="36">
        <f>Rev_Build!AE22+(1+inp_exp_ent-inp_churn_ent)*S9</f>
        <v/>
      </c>
      <c r="AF9" s="36">
        <f>Rev_Build!AF22+(1+inp_exp_ent-inp_churn_ent)*T9</f>
        <v/>
      </c>
      <c r="AG9" s="36">
        <f>Rev_Build!AG22+(1+inp_exp_ent-inp_churn_ent)*U9</f>
        <v/>
      </c>
      <c r="AH9" s="36">
        <f>Rev_Build!AH22+(1+inp_exp_ent-inp_churn_ent)*V9</f>
        <v/>
      </c>
      <c r="AI9" s="36">
        <f>Rev_Build!AI22+(1+inp_exp_ent-inp_churn_ent)*W9</f>
        <v/>
      </c>
      <c r="AJ9" s="36">
        <f>Rev_Build!AJ22+(1+inp_exp_ent-inp_churn_ent)*X9</f>
        <v/>
      </c>
      <c r="AK9" s="36">
        <f>Rev_Build!AK22+(1+inp_exp_ent-inp_churn_ent)*Y9</f>
        <v/>
      </c>
      <c r="AL9" s="36">
        <f>Rev_Build!AL22+(1+inp_exp_ent-inp_churn_ent)*Z9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Invoices raised - Mid-market</t>
        </is>
      </c>
      <c r="B10" s="2" t="inlineStr">
        <is>
          <t>GBP k</t>
        </is>
      </c>
      <c r="C10" s="36">
        <f>inp_arr_open_mid/12</f>
        <v/>
      </c>
      <c r="D10" s="36">
        <f>inp_arr_open_mid/12</f>
        <v/>
      </c>
      <c r="E10" s="36">
        <f>inp_arr_open_mid/12</f>
        <v/>
      </c>
      <c r="F10" s="36">
        <f>inp_arr_open_mid/12</f>
        <v/>
      </c>
      <c r="G10" s="36">
        <f>inp_arr_open_mid/12</f>
        <v/>
      </c>
      <c r="H10" s="36">
        <f>inp_arr_open_mid/12</f>
        <v/>
      </c>
      <c r="I10" s="36">
        <f>inp_arr_open_mid/12</f>
        <v/>
      </c>
      <c r="J10" s="36">
        <f>inp_arr_open_mid/12</f>
        <v/>
      </c>
      <c r="K10" s="36">
        <f>inp_arr_open_mid/12</f>
        <v/>
      </c>
      <c r="L10" s="36">
        <f>inp_arr_open_mid/12</f>
        <v/>
      </c>
      <c r="M10" s="36">
        <f>inp_arr_open_mid/12</f>
        <v/>
      </c>
      <c r="N10" s="36">
        <f>inp_arr_open_mid/12</f>
        <v/>
      </c>
      <c r="O10" s="36">
        <f>Rev_Build!O33+(1+inp_exp_mid-inp_churn_mid)*C10</f>
        <v/>
      </c>
      <c r="P10" s="36">
        <f>Rev_Build!P33+(1+inp_exp_mid-inp_churn_mid)*D10</f>
        <v/>
      </c>
      <c r="Q10" s="36">
        <f>Rev_Build!Q33+(1+inp_exp_mid-inp_churn_mid)*E10</f>
        <v/>
      </c>
      <c r="R10" s="36">
        <f>Rev_Build!R33+(1+inp_exp_mid-inp_churn_mid)*F10</f>
        <v/>
      </c>
      <c r="S10" s="36">
        <f>Rev_Build!S33+(1+inp_exp_mid-inp_churn_mid)*G10</f>
        <v/>
      </c>
      <c r="T10" s="36">
        <f>Rev_Build!T33+(1+inp_exp_mid-inp_churn_mid)*H10</f>
        <v/>
      </c>
      <c r="U10" s="36">
        <f>Rev_Build!U33+(1+inp_exp_mid-inp_churn_mid)*I10</f>
        <v/>
      </c>
      <c r="V10" s="36">
        <f>Rev_Build!V33+(1+inp_exp_mid-inp_churn_mid)*J10</f>
        <v/>
      </c>
      <c r="W10" s="36">
        <f>Rev_Build!W33+(1+inp_exp_mid-inp_churn_mid)*K10</f>
        <v/>
      </c>
      <c r="X10" s="36">
        <f>Rev_Build!X33+(1+inp_exp_mid-inp_churn_mid)*L10</f>
        <v/>
      </c>
      <c r="Y10" s="36">
        <f>Rev_Build!Y33+(1+inp_exp_mid-inp_churn_mid)*M10</f>
        <v/>
      </c>
      <c r="Z10" s="36">
        <f>Rev_Build!Z33+(1+inp_exp_mid-inp_churn_mid)*N10</f>
        <v/>
      </c>
      <c r="AA10" s="36">
        <f>Rev_Build!AA33+(1+inp_exp_mid-inp_churn_mid)*O10</f>
        <v/>
      </c>
      <c r="AB10" s="36">
        <f>Rev_Build!AB33+(1+inp_exp_mid-inp_churn_mid)*P10</f>
        <v/>
      </c>
      <c r="AC10" s="36">
        <f>Rev_Build!AC33+(1+inp_exp_mid-inp_churn_mid)*Q10</f>
        <v/>
      </c>
      <c r="AD10" s="36">
        <f>Rev_Build!AD33+(1+inp_exp_mid-inp_churn_mid)*R10</f>
        <v/>
      </c>
      <c r="AE10" s="36">
        <f>Rev_Build!AE33+(1+inp_exp_mid-inp_churn_mid)*S10</f>
        <v/>
      </c>
      <c r="AF10" s="36">
        <f>Rev_Build!AF33+(1+inp_exp_mid-inp_churn_mid)*T10</f>
        <v/>
      </c>
      <c r="AG10" s="36">
        <f>Rev_Build!AG33+(1+inp_exp_mid-inp_churn_mid)*U10</f>
        <v/>
      </c>
      <c r="AH10" s="36">
        <f>Rev_Build!AH33+(1+inp_exp_mid-inp_churn_mid)*V10</f>
        <v/>
      </c>
      <c r="AI10" s="36">
        <f>Rev_Build!AI33+(1+inp_exp_mid-inp_churn_mid)*W10</f>
        <v/>
      </c>
      <c r="AJ10" s="36">
        <f>Rev_Build!AJ33+(1+inp_exp_mid-inp_churn_mid)*X10</f>
        <v/>
      </c>
      <c r="AK10" s="36">
        <f>Rev_Build!AK33+(1+inp_exp_mid-inp_churn_mid)*Y10</f>
        <v/>
      </c>
      <c r="AL10" s="36">
        <f>Rev_Build!AL33+(1+inp_exp_mid-inp_churn_mid)*Z10</f>
        <v/>
      </c>
      <c r="AN10" s="36">
        <f>SUMIF($O$5:$AL$5,AN$5,$O10:$AL10)</f>
        <v/>
      </c>
      <c r="AO10" s="36">
        <f>SUMIF($O$5:$AL$5,AO$5,$O10:$AL10)</f>
        <v/>
      </c>
    </row>
    <row r="11">
      <c r="A11" s="37" t="inlineStr">
        <is>
          <t>Total subscription invoices</t>
        </is>
      </c>
      <c r="B11" s="38" t="inlineStr">
        <is>
          <t>GBP k</t>
        </is>
      </c>
      <c r="C11" s="40">
        <f>C9+C10</f>
        <v/>
      </c>
      <c r="D11" s="40">
        <f>D9+D10</f>
        <v/>
      </c>
      <c r="E11" s="40">
        <f>E9+E10</f>
        <v/>
      </c>
      <c r="F11" s="40">
        <f>F9+F10</f>
        <v/>
      </c>
      <c r="G11" s="40">
        <f>G9+G10</f>
        <v/>
      </c>
      <c r="H11" s="40">
        <f>H9+H10</f>
        <v/>
      </c>
      <c r="I11" s="40">
        <f>I9+I10</f>
        <v/>
      </c>
      <c r="J11" s="40">
        <f>J9+J10</f>
        <v/>
      </c>
      <c r="K11" s="40">
        <f>K9+K10</f>
        <v/>
      </c>
      <c r="L11" s="40">
        <f>L9+L10</f>
        <v/>
      </c>
      <c r="M11" s="40">
        <f>M9+M10</f>
        <v/>
      </c>
      <c r="N11" s="40">
        <f>N9+N10</f>
        <v/>
      </c>
      <c r="O11" s="40">
        <f>O9+O10</f>
        <v/>
      </c>
      <c r="P11" s="40">
        <f>P9+P10</f>
        <v/>
      </c>
      <c r="Q11" s="40">
        <f>Q9+Q10</f>
        <v/>
      </c>
      <c r="R11" s="40">
        <f>R9+R10</f>
        <v/>
      </c>
      <c r="S11" s="40">
        <f>S9+S10</f>
        <v/>
      </c>
      <c r="T11" s="40">
        <f>T9+T10</f>
        <v/>
      </c>
      <c r="U11" s="40">
        <f>U9+U10</f>
        <v/>
      </c>
      <c r="V11" s="40">
        <f>V9+V10</f>
        <v/>
      </c>
      <c r="W11" s="40">
        <f>W9+W10</f>
        <v/>
      </c>
      <c r="X11" s="40">
        <f>X9+X10</f>
        <v/>
      </c>
      <c r="Y11" s="40">
        <f>Y9+Y10</f>
        <v/>
      </c>
      <c r="Z11" s="40">
        <f>Z9+Z10</f>
        <v/>
      </c>
      <c r="AA11" s="40">
        <f>AA9+AA10</f>
        <v/>
      </c>
      <c r="AB11" s="40">
        <f>AB9+AB10</f>
        <v/>
      </c>
      <c r="AC11" s="40">
        <f>AC9+AC10</f>
        <v/>
      </c>
      <c r="AD11" s="40">
        <f>AD9+AD10</f>
        <v/>
      </c>
      <c r="AE11" s="40">
        <f>AE9+AE10</f>
        <v/>
      </c>
      <c r="AF11" s="40">
        <f>AF9+AF10</f>
        <v/>
      </c>
      <c r="AG11" s="40">
        <f>AG9+AG10</f>
        <v/>
      </c>
      <c r="AH11" s="40">
        <f>AH9+AH10</f>
        <v/>
      </c>
      <c r="AI11" s="40">
        <f>AI9+AI10</f>
        <v/>
      </c>
      <c r="AJ11" s="40">
        <f>AJ9+AJ10</f>
        <v/>
      </c>
      <c r="AK11" s="40">
        <f>AK9+AK10</f>
        <v/>
      </c>
      <c r="AL11" s="40">
        <f>AL9+AL10</f>
        <v/>
      </c>
      <c r="AM11" s="39" t="n"/>
      <c r="AN11" s="40">
        <f>SUMIF($O$5:$AL$5,AN$5,$O11:$AL11)</f>
        <v/>
      </c>
      <c r="AO11" s="40">
        <f>SUMIF($O$5:$AL$5,AO$5,$O11:$AL11)</f>
        <v/>
      </c>
    </row>
    <row r="12">
      <c r="A12" s="5" t="inlineStr">
        <is>
          <t>Unexpired share of each historic invoice at opening date</t>
        </is>
      </c>
      <c r="B12" s="2" t="inlineStr">
        <is>
          <t>x</t>
        </is>
      </c>
      <c r="C12" s="33">
        <f>(C$3+11)/12</f>
        <v/>
      </c>
      <c r="D12" s="33">
        <f>(D$3+11)/12</f>
        <v/>
      </c>
      <c r="E12" s="33">
        <f>(E$3+11)/12</f>
        <v/>
      </c>
      <c r="F12" s="33">
        <f>(F$3+11)/12</f>
        <v/>
      </c>
      <c r="G12" s="33">
        <f>(G$3+11)/12</f>
        <v/>
      </c>
      <c r="H12" s="33">
        <f>(H$3+11)/12</f>
        <v/>
      </c>
      <c r="I12" s="33">
        <f>(I$3+11)/12</f>
        <v/>
      </c>
      <c r="J12" s="33">
        <f>(J$3+11)/12</f>
        <v/>
      </c>
      <c r="K12" s="33">
        <f>(K$3+11)/12</f>
        <v/>
      </c>
      <c r="L12" s="33">
        <f>(L$3+11)/12</f>
        <v/>
      </c>
      <c r="M12" s="33">
        <f>(M$3+11)/12</f>
        <v/>
      </c>
      <c r="N12" s="33">
        <f>(N$3+11)/12</f>
        <v/>
      </c>
    </row>
    <row r="14">
      <c r="A14" s="13" t="inlineStr">
        <is>
          <t>Implementation fees (separate performance obligation, recognised over 3 months)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5" t="inlineStr">
        <is>
          <t>Implementation fees billed</t>
        </is>
      </c>
      <c r="B15" s="2" t="inlineStr">
        <is>
          <t>GBP k</t>
        </is>
      </c>
      <c r="O15" s="36">
        <f>inp_impl_fee_pct*Rev_Build!O22</f>
        <v/>
      </c>
      <c r="P15" s="36">
        <f>inp_impl_fee_pct*Rev_Build!P22</f>
        <v/>
      </c>
      <c r="Q15" s="36">
        <f>inp_impl_fee_pct*Rev_Build!Q22</f>
        <v/>
      </c>
      <c r="R15" s="36">
        <f>inp_impl_fee_pct*Rev_Build!R22</f>
        <v/>
      </c>
      <c r="S15" s="36">
        <f>inp_impl_fee_pct*Rev_Build!S22</f>
        <v/>
      </c>
      <c r="T15" s="36">
        <f>inp_impl_fee_pct*Rev_Build!T22</f>
        <v/>
      </c>
      <c r="U15" s="36">
        <f>inp_impl_fee_pct*Rev_Build!U22</f>
        <v/>
      </c>
      <c r="V15" s="36">
        <f>inp_impl_fee_pct*Rev_Build!V22</f>
        <v/>
      </c>
      <c r="W15" s="36">
        <f>inp_impl_fee_pct*Rev_Build!W22</f>
        <v/>
      </c>
      <c r="X15" s="36">
        <f>inp_impl_fee_pct*Rev_Build!X22</f>
        <v/>
      </c>
      <c r="Y15" s="36">
        <f>inp_impl_fee_pct*Rev_Build!Y22</f>
        <v/>
      </c>
      <c r="Z15" s="36">
        <f>inp_impl_fee_pct*Rev_Build!Z22</f>
        <v/>
      </c>
      <c r="AA15" s="36">
        <f>inp_impl_fee_pct*Rev_Build!AA22</f>
        <v/>
      </c>
      <c r="AB15" s="36">
        <f>inp_impl_fee_pct*Rev_Build!AB22</f>
        <v/>
      </c>
      <c r="AC15" s="36">
        <f>inp_impl_fee_pct*Rev_Build!AC22</f>
        <v/>
      </c>
      <c r="AD15" s="36">
        <f>inp_impl_fee_pct*Rev_Build!AD22</f>
        <v/>
      </c>
      <c r="AE15" s="36">
        <f>inp_impl_fee_pct*Rev_Build!AE22</f>
        <v/>
      </c>
      <c r="AF15" s="36">
        <f>inp_impl_fee_pct*Rev_Build!AF22</f>
        <v/>
      </c>
      <c r="AG15" s="36">
        <f>inp_impl_fee_pct*Rev_Build!AG22</f>
        <v/>
      </c>
      <c r="AH15" s="36">
        <f>inp_impl_fee_pct*Rev_Build!AH22</f>
        <v/>
      </c>
      <c r="AI15" s="36">
        <f>inp_impl_fee_pct*Rev_Build!AI22</f>
        <v/>
      </c>
      <c r="AJ15" s="36">
        <f>inp_impl_fee_pct*Rev_Build!AJ22</f>
        <v/>
      </c>
      <c r="AK15" s="36">
        <f>inp_impl_fee_pct*Rev_Build!AK22</f>
        <v/>
      </c>
      <c r="AL15" s="36">
        <f>inp_impl_fee_pct*Rev_Build!AL22</f>
        <v/>
      </c>
      <c r="AN15" s="36">
        <f>SUMIF($O$5:$AL$5,AN$5,$O15:$AL15)</f>
        <v/>
      </c>
      <c r="AO15" s="36">
        <f>SUMIF($O$5:$AL$5,AO$5,$O15:$AL15)</f>
        <v/>
      </c>
    </row>
    <row r="17">
      <c r="A17" s="13" t="inlineStr">
        <is>
          <t>Revenue recognised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5" t="inlineStr">
        <is>
          <t>Subscription revenue - Enterprise (each invoice over 12 months)</t>
        </is>
      </c>
      <c r="B18" s="2" t="inlineStr">
        <is>
          <t>GBP k</t>
        </is>
      </c>
      <c r="O18" s="36">
        <f>SUM(D9:O9)/12</f>
        <v/>
      </c>
      <c r="P18" s="36">
        <f>SUM(E9:P9)/12</f>
        <v/>
      </c>
      <c r="Q18" s="36">
        <f>SUM(F9:Q9)/12</f>
        <v/>
      </c>
      <c r="R18" s="36">
        <f>SUM(G9:R9)/12</f>
        <v/>
      </c>
      <c r="S18" s="36">
        <f>SUM(H9:S9)/12</f>
        <v/>
      </c>
      <c r="T18" s="36">
        <f>SUM(I9:T9)/12</f>
        <v/>
      </c>
      <c r="U18" s="36">
        <f>SUM(J9:U9)/12</f>
        <v/>
      </c>
      <c r="V18" s="36">
        <f>SUM(K9:V9)/12</f>
        <v/>
      </c>
      <c r="W18" s="36">
        <f>SUM(L9:W9)/12</f>
        <v/>
      </c>
      <c r="X18" s="36">
        <f>SUM(M9:X9)/12</f>
        <v/>
      </c>
      <c r="Y18" s="36">
        <f>SUM(N9:Y9)/12</f>
        <v/>
      </c>
      <c r="Z18" s="36">
        <f>SUM(O9:Z9)/12</f>
        <v/>
      </c>
      <c r="AA18" s="36">
        <f>SUM(P9:AA9)/12</f>
        <v/>
      </c>
      <c r="AB18" s="36">
        <f>SUM(Q9:AB9)/12</f>
        <v/>
      </c>
      <c r="AC18" s="36">
        <f>SUM(R9:AC9)/12</f>
        <v/>
      </c>
      <c r="AD18" s="36">
        <f>SUM(S9:AD9)/12</f>
        <v/>
      </c>
      <c r="AE18" s="36">
        <f>SUM(T9:AE9)/12</f>
        <v/>
      </c>
      <c r="AF18" s="36">
        <f>SUM(U9:AF9)/12</f>
        <v/>
      </c>
      <c r="AG18" s="36">
        <f>SUM(V9:AG9)/12</f>
        <v/>
      </c>
      <c r="AH18" s="36">
        <f>SUM(W9:AH9)/12</f>
        <v/>
      </c>
      <c r="AI18" s="36">
        <f>SUM(X9:AI9)/12</f>
        <v/>
      </c>
      <c r="AJ18" s="36">
        <f>SUM(Y9:AJ9)/12</f>
        <v/>
      </c>
      <c r="AK18" s="36">
        <f>SUM(Z9:AK9)/12</f>
        <v/>
      </c>
      <c r="AL18" s="36">
        <f>SUM(AA9:AL9)/12</f>
        <v/>
      </c>
      <c r="AN18" s="36">
        <f>SUMIF($O$5:$AL$5,AN$5,$O18:$AL18)</f>
        <v/>
      </c>
      <c r="AO18" s="36">
        <f>SUMIF($O$5:$AL$5,AO$5,$O18:$AL18)</f>
        <v/>
      </c>
    </row>
    <row r="19">
      <c r="A19" s="5" t="inlineStr">
        <is>
          <t>Subscription revenue - Mid-market (each invoice over 12 months)</t>
        </is>
      </c>
      <c r="B19" s="2" t="inlineStr">
        <is>
          <t>GBP k</t>
        </is>
      </c>
      <c r="O19" s="36">
        <f>SUM(D10:O10)/12</f>
        <v/>
      </c>
      <c r="P19" s="36">
        <f>SUM(E10:P10)/12</f>
        <v/>
      </c>
      <c r="Q19" s="36">
        <f>SUM(F10:Q10)/12</f>
        <v/>
      </c>
      <c r="R19" s="36">
        <f>SUM(G10:R10)/12</f>
        <v/>
      </c>
      <c r="S19" s="36">
        <f>SUM(H10:S10)/12</f>
        <v/>
      </c>
      <c r="T19" s="36">
        <f>SUM(I10:T10)/12</f>
        <v/>
      </c>
      <c r="U19" s="36">
        <f>SUM(J10:U10)/12</f>
        <v/>
      </c>
      <c r="V19" s="36">
        <f>SUM(K10:V10)/12</f>
        <v/>
      </c>
      <c r="W19" s="36">
        <f>SUM(L10:W10)/12</f>
        <v/>
      </c>
      <c r="X19" s="36">
        <f>SUM(M10:X10)/12</f>
        <v/>
      </c>
      <c r="Y19" s="36">
        <f>SUM(N10:Y10)/12</f>
        <v/>
      </c>
      <c r="Z19" s="36">
        <f>SUM(O10:Z10)/12</f>
        <v/>
      </c>
      <c r="AA19" s="36">
        <f>SUM(P10:AA10)/12</f>
        <v/>
      </c>
      <c r="AB19" s="36">
        <f>SUM(Q10:AB10)/12</f>
        <v/>
      </c>
      <c r="AC19" s="36">
        <f>SUM(R10:AC10)/12</f>
        <v/>
      </c>
      <c r="AD19" s="36">
        <f>SUM(S10:AD10)/12</f>
        <v/>
      </c>
      <c r="AE19" s="36">
        <f>SUM(T10:AE10)/12</f>
        <v/>
      </c>
      <c r="AF19" s="36">
        <f>SUM(U10:AF10)/12</f>
        <v/>
      </c>
      <c r="AG19" s="36">
        <f>SUM(V10:AG10)/12</f>
        <v/>
      </c>
      <c r="AH19" s="36">
        <f>SUM(W10:AH10)/12</f>
        <v/>
      </c>
      <c r="AI19" s="36">
        <f>SUM(X10:AI10)/12</f>
        <v/>
      </c>
      <c r="AJ19" s="36">
        <f>SUM(Y10:AJ10)/12</f>
        <v/>
      </c>
      <c r="AK19" s="36">
        <f>SUM(Z10:AK10)/12</f>
        <v/>
      </c>
      <c r="AL19" s="36">
        <f>SUM(AA10:AL10)/12</f>
        <v/>
      </c>
      <c r="AN19" s="36">
        <f>SUMIF($O$5:$AL$5,AN$5,$O19:$AL19)</f>
        <v/>
      </c>
      <c r="AO19" s="36">
        <f>SUMIF($O$5:$AL$5,AO$5,$O19:$AL19)</f>
        <v/>
      </c>
    </row>
    <row r="20">
      <c r="A20" s="37" t="inlineStr">
        <is>
          <t>Total subscription revenue</t>
        </is>
      </c>
      <c r="B20" s="38" t="inlineStr">
        <is>
          <t>GBP k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40">
        <f>O18+O19</f>
        <v/>
      </c>
      <c r="P20" s="40">
        <f>P18+P19</f>
        <v/>
      </c>
      <c r="Q20" s="40">
        <f>Q18+Q19</f>
        <v/>
      </c>
      <c r="R20" s="40">
        <f>R18+R19</f>
        <v/>
      </c>
      <c r="S20" s="40">
        <f>S18+S19</f>
        <v/>
      </c>
      <c r="T20" s="40">
        <f>T18+T19</f>
        <v/>
      </c>
      <c r="U20" s="40">
        <f>U18+U19</f>
        <v/>
      </c>
      <c r="V20" s="40">
        <f>V18+V19</f>
        <v/>
      </c>
      <c r="W20" s="40">
        <f>W18+W19</f>
        <v/>
      </c>
      <c r="X20" s="40">
        <f>X18+X19</f>
        <v/>
      </c>
      <c r="Y20" s="40">
        <f>Y18+Y19</f>
        <v/>
      </c>
      <c r="Z20" s="40">
        <f>Z18+Z19</f>
        <v/>
      </c>
      <c r="AA20" s="40">
        <f>AA18+AA19</f>
        <v/>
      </c>
      <c r="AB20" s="40">
        <f>AB18+AB19</f>
        <v/>
      </c>
      <c r="AC20" s="40">
        <f>AC18+AC19</f>
        <v/>
      </c>
      <c r="AD20" s="40">
        <f>AD18+AD19</f>
        <v/>
      </c>
      <c r="AE20" s="40">
        <f>AE18+AE19</f>
        <v/>
      </c>
      <c r="AF20" s="40">
        <f>AF18+AF19</f>
        <v/>
      </c>
      <c r="AG20" s="40">
        <f>AG18+AG19</f>
        <v/>
      </c>
      <c r="AH20" s="40">
        <f>AH18+AH19</f>
        <v/>
      </c>
      <c r="AI20" s="40">
        <f>AI18+AI19</f>
        <v/>
      </c>
      <c r="AJ20" s="40">
        <f>AJ18+AJ19</f>
        <v/>
      </c>
      <c r="AK20" s="40">
        <f>AK18+AK19</f>
        <v/>
      </c>
      <c r="AL20" s="40">
        <f>AL18+AL19</f>
        <v/>
      </c>
      <c r="AM20" s="39" t="n"/>
      <c r="AN20" s="40">
        <f>SUMIF($O$5:$AL$5,AN$5,$O20:$AL20)</f>
        <v/>
      </c>
      <c r="AO20" s="40">
        <f>SUMIF($O$5:$AL$5,AO$5,$O20:$AL20)</f>
        <v/>
      </c>
    </row>
    <row r="21">
      <c r="A21" s="5" t="inlineStr">
        <is>
          <t>Implementation revenue</t>
        </is>
      </c>
      <c r="B21" s="2" t="inlineStr">
        <is>
          <t>GBP k</t>
        </is>
      </c>
      <c r="O21" s="36">
        <f>SUM(M15:O15)/3</f>
        <v/>
      </c>
      <c r="P21" s="36">
        <f>SUM(N15:P15)/3</f>
        <v/>
      </c>
      <c r="Q21" s="36">
        <f>SUM(O15:Q15)/3</f>
        <v/>
      </c>
      <c r="R21" s="36">
        <f>SUM(P15:R15)/3</f>
        <v/>
      </c>
      <c r="S21" s="36">
        <f>SUM(Q15:S15)/3</f>
        <v/>
      </c>
      <c r="T21" s="36">
        <f>SUM(R15:T15)/3</f>
        <v/>
      </c>
      <c r="U21" s="36">
        <f>SUM(S15:U15)/3</f>
        <v/>
      </c>
      <c r="V21" s="36">
        <f>SUM(T15:V15)/3</f>
        <v/>
      </c>
      <c r="W21" s="36">
        <f>SUM(U15:W15)/3</f>
        <v/>
      </c>
      <c r="X21" s="36">
        <f>SUM(V15:X15)/3</f>
        <v/>
      </c>
      <c r="Y21" s="36">
        <f>SUM(W15:Y15)/3</f>
        <v/>
      </c>
      <c r="Z21" s="36">
        <f>SUM(X15:Z15)/3</f>
        <v/>
      </c>
      <c r="AA21" s="36">
        <f>SUM(Y15:AA15)/3</f>
        <v/>
      </c>
      <c r="AB21" s="36">
        <f>SUM(Z15:AB15)/3</f>
        <v/>
      </c>
      <c r="AC21" s="36">
        <f>SUM(AA15:AC15)/3</f>
        <v/>
      </c>
      <c r="AD21" s="36">
        <f>SUM(AB15:AD15)/3</f>
        <v/>
      </c>
      <c r="AE21" s="36">
        <f>SUM(AC15:AE15)/3</f>
        <v/>
      </c>
      <c r="AF21" s="36">
        <f>SUM(AD15:AF15)/3</f>
        <v/>
      </c>
      <c r="AG21" s="36">
        <f>SUM(AE15:AG15)/3</f>
        <v/>
      </c>
      <c r="AH21" s="36">
        <f>SUM(AF15:AH15)/3</f>
        <v/>
      </c>
      <c r="AI21" s="36">
        <f>SUM(AG15:AI15)/3</f>
        <v/>
      </c>
      <c r="AJ21" s="36">
        <f>SUM(AH15:AJ15)/3</f>
        <v/>
      </c>
      <c r="AK21" s="36">
        <f>SUM(AI15:AK15)/3</f>
        <v/>
      </c>
      <c r="AL21" s="36">
        <f>SUM(AJ15:AL15)/3</f>
        <v/>
      </c>
      <c r="AN21" s="36">
        <f>SUMIF($O$5:$AL$5,AN$5,$O21:$AL21)</f>
        <v/>
      </c>
      <c r="AO21" s="36">
        <f>SUMIF($O$5:$AL$5,AO$5,$O21:$AL21)</f>
        <v/>
      </c>
    </row>
    <row r="22">
      <c r="A22" s="37" t="inlineStr">
        <is>
          <t>Total revenue</t>
        </is>
      </c>
      <c r="B22" s="38" t="inlineStr">
        <is>
          <t>GBP k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40">
        <f>O20+O21</f>
        <v/>
      </c>
      <c r="P22" s="40">
        <f>P20+P21</f>
        <v/>
      </c>
      <c r="Q22" s="40">
        <f>Q20+Q21</f>
        <v/>
      </c>
      <c r="R22" s="40">
        <f>R20+R21</f>
        <v/>
      </c>
      <c r="S22" s="40">
        <f>S20+S21</f>
        <v/>
      </c>
      <c r="T22" s="40">
        <f>T20+T21</f>
        <v/>
      </c>
      <c r="U22" s="40">
        <f>U20+U21</f>
        <v/>
      </c>
      <c r="V22" s="40">
        <f>V20+V21</f>
        <v/>
      </c>
      <c r="W22" s="40">
        <f>W20+W21</f>
        <v/>
      </c>
      <c r="X22" s="40">
        <f>X20+X21</f>
        <v/>
      </c>
      <c r="Y22" s="40">
        <f>Y20+Y21</f>
        <v/>
      </c>
      <c r="Z22" s="40">
        <f>Z20+Z21</f>
        <v/>
      </c>
      <c r="AA22" s="40">
        <f>AA20+AA21</f>
        <v/>
      </c>
      <c r="AB22" s="40">
        <f>AB20+AB21</f>
        <v/>
      </c>
      <c r="AC22" s="40">
        <f>AC20+AC21</f>
        <v/>
      </c>
      <c r="AD22" s="40">
        <f>AD20+AD21</f>
        <v/>
      </c>
      <c r="AE22" s="40">
        <f>AE20+AE21</f>
        <v/>
      </c>
      <c r="AF22" s="40">
        <f>AF20+AF21</f>
        <v/>
      </c>
      <c r="AG22" s="40">
        <f>AG20+AG21</f>
        <v/>
      </c>
      <c r="AH22" s="40">
        <f>AH20+AH21</f>
        <v/>
      </c>
      <c r="AI22" s="40">
        <f>AI20+AI21</f>
        <v/>
      </c>
      <c r="AJ22" s="40">
        <f>AJ20+AJ21</f>
        <v/>
      </c>
      <c r="AK22" s="40">
        <f>AK20+AK21</f>
        <v/>
      </c>
      <c r="AL22" s="40">
        <f>AL20+AL21</f>
        <v/>
      </c>
      <c r="AM22" s="39" t="n"/>
      <c r="AN22" s="40">
        <f>SUMIF($O$5:$AL$5,AN$5,$O22:$AL22)</f>
        <v/>
      </c>
      <c r="AO22" s="40">
        <f>SUMIF($O$5:$AL$5,AO$5,$O22:$AL22)</f>
        <v/>
      </c>
    </row>
    <row r="23">
      <c r="A23" s="3" t="inlineStr">
        <is>
          <t>Total billings</t>
        </is>
      </c>
      <c r="B23" s="2" t="inlineStr">
        <is>
          <t>GBP k</t>
        </is>
      </c>
      <c r="N23" s="42">
        <f>N11</f>
        <v/>
      </c>
      <c r="O23" s="42">
        <f>O11+O15</f>
        <v/>
      </c>
      <c r="P23" s="42">
        <f>P11+P15</f>
        <v/>
      </c>
      <c r="Q23" s="42">
        <f>Q11+Q15</f>
        <v/>
      </c>
      <c r="R23" s="42">
        <f>R11+R15</f>
        <v/>
      </c>
      <c r="S23" s="42">
        <f>S11+S15</f>
        <v/>
      </c>
      <c r="T23" s="42">
        <f>T11+T15</f>
        <v/>
      </c>
      <c r="U23" s="42">
        <f>U11+U15</f>
        <v/>
      </c>
      <c r="V23" s="42">
        <f>V11+V15</f>
        <v/>
      </c>
      <c r="W23" s="42">
        <f>W11+W15</f>
        <v/>
      </c>
      <c r="X23" s="42">
        <f>X11+X15</f>
        <v/>
      </c>
      <c r="Y23" s="42">
        <f>Y11+Y15</f>
        <v/>
      </c>
      <c r="Z23" s="42">
        <f>Z11+Z15</f>
        <v/>
      </c>
      <c r="AA23" s="42">
        <f>AA11+AA15</f>
        <v/>
      </c>
      <c r="AB23" s="42">
        <f>AB11+AB15</f>
        <v/>
      </c>
      <c r="AC23" s="42">
        <f>AC11+AC15</f>
        <v/>
      </c>
      <c r="AD23" s="42">
        <f>AD11+AD15</f>
        <v/>
      </c>
      <c r="AE23" s="42">
        <f>AE11+AE15</f>
        <v/>
      </c>
      <c r="AF23" s="42">
        <f>AF11+AF15</f>
        <v/>
      </c>
      <c r="AG23" s="42">
        <f>AG11+AG15</f>
        <v/>
      </c>
      <c r="AH23" s="42">
        <f>AH11+AH15</f>
        <v/>
      </c>
      <c r="AI23" s="42">
        <f>AI11+AI15</f>
        <v/>
      </c>
      <c r="AJ23" s="42">
        <f>AJ11+AJ15</f>
        <v/>
      </c>
      <c r="AK23" s="42">
        <f>AK11+AK15</f>
        <v/>
      </c>
      <c r="AL23" s="42">
        <f>AL11+AL15</f>
        <v/>
      </c>
      <c r="AN23" s="42">
        <f>SUMIF($O$5:$AL$5,AN$5,$O23:$AL23)</f>
        <v/>
      </c>
      <c r="AO23" s="42">
        <f>SUMIF($O$5:$AL$5,AO$5,$O23:$AL23)</f>
        <v/>
      </c>
    </row>
    <row r="25">
      <c r="A25" s="13" t="inlineStr">
        <is>
          <t>Deferred revenue roll-forward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5" t="inlineStr">
        <is>
          <t>Subscription: opening</t>
        </is>
      </c>
      <c r="B26" s="2" t="inlineStr">
        <is>
          <t>GBP k</t>
        </is>
      </c>
      <c r="O26" s="36">
        <f>N29</f>
        <v/>
      </c>
      <c r="P26" s="36">
        <f>O29</f>
        <v/>
      </c>
      <c r="Q26" s="36">
        <f>P29</f>
        <v/>
      </c>
      <c r="R26" s="36">
        <f>Q29</f>
        <v/>
      </c>
      <c r="S26" s="36">
        <f>R29</f>
        <v/>
      </c>
      <c r="T26" s="36">
        <f>S29</f>
        <v/>
      </c>
      <c r="U26" s="36">
        <f>T29</f>
        <v/>
      </c>
      <c r="V26" s="36">
        <f>U29</f>
        <v/>
      </c>
      <c r="W26" s="36">
        <f>V29</f>
        <v/>
      </c>
      <c r="X26" s="36">
        <f>W29</f>
        <v/>
      </c>
      <c r="Y26" s="36">
        <f>X29</f>
        <v/>
      </c>
      <c r="Z26" s="36">
        <f>Y29</f>
        <v/>
      </c>
      <c r="AA26" s="36">
        <f>Z29</f>
        <v/>
      </c>
      <c r="AB26" s="36">
        <f>AA29</f>
        <v/>
      </c>
      <c r="AC26" s="36">
        <f>AB29</f>
        <v/>
      </c>
      <c r="AD26" s="36">
        <f>AC29</f>
        <v/>
      </c>
      <c r="AE26" s="36">
        <f>AD29</f>
        <v/>
      </c>
      <c r="AF26" s="36">
        <f>AE29</f>
        <v/>
      </c>
      <c r="AG26" s="36">
        <f>AF29</f>
        <v/>
      </c>
      <c r="AH26" s="36">
        <f>AG29</f>
        <v/>
      </c>
      <c r="AI26" s="36">
        <f>AH29</f>
        <v/>
      </c>
      <c r="AJ26" s="36">
        <f>AI29</f>
        <v/>
      </c>
      <c r="AK26" s="36">
        <f>AJ29</f>
        <v/>
      </c>
      <c r="AL26" s="36">
        <f>AK29</f>
        <v/>
      </c>
      <c r="AN26" s="36">
        <f>INDEX($O26:$AL26,1,(AN$5-1)*12+1)</f>
        <v/>
      </c>
      <c r="AO26" s="36">
        <f>INDEX($O26:$AL26,1,(AO$5-1)*12+1)</f>
        <v/>
      </c>
    </row>
    <row r="27">
      <c r="A27" s="5" t="inlineStr">
        <is>
          <t>+ Invoices raised</t>
        </is>
      </c>
      <c r="B27" s="2" t="inlineStr">
        <is>
          <t>GBP k</t>
        </is>
      </c>
      <c r="O27" s="36">
        <f>O11</f>
        <v/>
      </c>
      <c r="P27" s="36">
        <f>P11</f>
        <v/>
      </c>
      <c r="Q27" s="36">
        <f>Q11</f>
        <v/>
      </c>
      <c r="R27" s="36">
        <f>R11</f>
        <v/>
      </c>
      <c r="S27" s="36">
        <f>S11</f>
        <v/>
      </c>
      <c r="T27" s="36">
        <f>T11</f>
        <v/>
      </c>
      <c r="U27" s="36">
        <f>U11</f>
        <v/>
      </c>
      <c r="V27" s="36">
        <f>V11</f>
        <v/>
      </c>
      <c r="W27" s="36">
        <f>W11</f>
        <v/>
      </c>
      <c r="X27" s="36">
        <f>X11</f>
        <v/>
      </c>
      <c r="Y27" s="36">
        <f>Y11</f>
        <v/>
      </c>
      <c r="Z27" s="36">
        <f>Z11</f>
        <v/>
      </c>
      <c r="AA27" s="36">
        <f>AA11</f>
        <v/>
      </c>
      <c r="AB27" s="36">
        <f>AB11</f>
        <v/>
      </c>
      <c r="AC27" s="36">
        <f>AC11</f>
        <v/>
      </c>
      <c r="AD27" s="36">
        <f>AD11</f>
        <v/>
      </c>
      <c r="AE27" s="36">
        <f>AE11</f>
        <v/>
      </c>
      <c r="AF27" s="36">
        <f>AF11</f>
        <v/>
      </c>
      <c r="AG27" s="36">
        <f>AG11</f>
        <v/>
      </c>
      <c r="AH27" s="36">
        <f>AH11</f>
        <v/>
      </c>
      <c r="AI27" s="36">
        <f>AI11</f>
        <v/>
      </c>
      <c r="AJ27" s="36">
        <f>AJ11</f>
        <v/>
      </c>
      <c r="AK27" s="36">
        <f>AK11</f>
        <v/>
      </c>
      <c r="AL27" s="36">
        <f>AL11</f>
        <v/>
      </c>
      <c r="AN27" s="36">
        <f>SUMIF($O$5:$AL$5,AN$5,$O27:$AL27)</f>
        <v/>
      </c>
      <c r="AO27" s="36">
        <f>SUMIF($O$5:$AL$5,AO$5,$O27:$AL27)</f>
        <v/>
      </c>
    </row>
    <row r="28">
      <c r="A28" s="5" t="inlineStr">
        <is>
          <t>- Revenue recognised</t>
        </is>
      </c>
      <c r="B28" s="2" t="inlineStr">
        <is>
          <t>GBP k</t>
        </is>
      </c>
      <c r="O28" s="36">
        <f>-O20</f>
        <v/>
      </c>
      <c r="P28" s="36">
        <f>-P20</f>
        <v/>
      </c>
      <c r="Q28" s="36">
        <f>-Q20</f>
        <v/>
      </c>
      <c r="R28" s="36">
        <f>-R20</f>
        <v/>
      </c>
      <c r="S28" s="36">
        <f>-S20</f>
        <v/>
      </c>
      <c r="T28" s="36">
        <f>-T20</f>
        <v/>
      </c>
      <c r="U28" s="36">
        <f>-U20</f>
        <v/>
      </c>
      <c r="V28" s="36">
        <f>-V20</f>
        <v/>
      </c>
      <c r="W28" s="36">
        <f>-W20</f>
        <v/>
      </c>
      <c r="X28" s="36">
        <f>-X20</f>
        <v/>
      </c>
      <c r="Y28" s="36">
        <f>-Y20</f>
        <v/>
      </c>
      <c r="Z28" s="36">
        <f>-Z20</f>
        <v/>
      </c>
      <c r="AA28" s="36">
        <f>-AA20</f>
        <v/>
      </c>
      <c r="AB28" s="36">
        <f>-AB20</f>
        <v/>
      </c>
      <c r="AC28" s="36">
        <f>-AC20</f>
        <v/>
      </c>
      <c r="AD28" s="36">
        <f>-AD20</f>
        <v/>
      </c>
      <c r="AE28" s="36">
        <f>-AE20</f>
        <v/>
      </c>
      <c r="AF28" s="36">
        <f>-AF20</f>
        <v/>
      </c>
      <c r="AG28" s="36">
        <f>-AG20</f>
        <v/>
      </c>
      <c r="AH28" s="36">
        <f>-AH20</f>
        <v/>
      </c>
      <c r="AI28" s="36">
        <f>-AI20</f>
        <v/>
      </c>
      <c r="AJ28" s="36">
        <f>-AJ20</f>
        <v/>
      </c>
      <c r="AK28" s="36">
        <f>-AK20</f>
        <v/>
      </c>
      <c r="AL28" s="36">
        <f>-AL20</f>
        <v/>
      </c>
      <c r="AN28" s="36">
        <f>SUMIF($O$5:$AL$5,AN$5,$O28:$AL28)</f>
        <v/>
      </c>
      <c r="AO28" s="36">
        <f>SUMIF($O$5:$AL$5,AO$5,$O28:$AL28)</f>
        <v/>
      </c>
    </row>
    <row r="29">
      <c r="A29" s="37" t="inlineStr">
        <is>
          <t>Subscription: closing</t>
        </is>
      </c>
      <c r="B29" s="38" t="inlineStr">
        <is>
          <t>GBP k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0">
        <f>SUMPRODUCT(C11:N11,C12:N12)</f>
        <v/>
      </c>
      <c r="O29" s="40">
        <f>SUM(O26:O28)</f>
        <v/>
      </c>
      <c r="P29" s="40">
        <f>SUM(P26:P28)</f>
        <v/>
      </c>
      <c r="Q29" s="40">
        <f>SUM(Q26:Q28)</f>
        <v/>
      </c>
      <c r="R29" s="40">
        <f>SUM(R26:R28)</f>
        <v/>
      </c>
      <c r="S29" s="40">
        <f>SUM(S26:S28)</f>
        <v/>
      </c>
      <c r="T29" s="40">
        <f>SUM(T26:T28)</f>
        <v/>
      </c>
      <c r="U29" s="40">
        <f>SUM(U26:U28)</f>
        <v/>
      </c>
      <c r="V29" s="40">
        <f>SUM(V26:V28)</f>
        <v/>
      </c>
      <c r="W29" s="40">
        <f>SUM(W26:W28)</f>
        <v/>
      </c>
      <c r="X29" s="40">
        <f>SUM(X26:X28)</f>
        <v/>
      </c>
      <c r="Y29" s="40">
        <f>SUM(Y26:Y28)</f>
        <v/>
      </c>
      <c r="Z29" s="40">
        <f>SUM(Z26:Z28)</f>
        <v/>
      </c>
      <c r="AA29" s="40">
        <f>SUM(AA26:AA28)</f>
        <v/>
      </c>
      <c r="AB29" s="40">
        <f>SUM(AB26:AB28)</f>
        <v/>
      </c>
      <c r="AC29" s="40">
        <f>SUM(AC26:AC28)</f>
        <v/>
      </c>
      <c r="AD29" s="40">
        <f>SUM(AD26:AD28)</f>
        <v/>
      </c>
      <c r="AE29" s="40">
        <f>SUM(AE26:AE28)</f>
        <v/>
      </c>
      <c r="AF29" s="40">
        <f>SUM(AF26:AF28)</f>
        <v/>
      </c>
      <c r="AG29" s="40">
        <f>SUM(AG26:AG28)</f>
        <v/>
      </c>
      <c r="AH29" s="40">
        <f>SUM(AH26:AH28)</f>
        <v/>
      </c>
      <c r="AI29" s="40">
        <f>SUM(AI26:AI28)</f>
        <v/>
      </c>
      <c r="AJ29" s="40">
        <f>SUM(AJ26:AJ28)</f>
        <v/>
      </c>
      <c r="AK29" s="40">
        <f>SUM(AK26:AK28)</f>
        <v/>
      </c>
      <c r="AL29" s="40">
        <f>SUM(AL26:AL28)</f>
        <v/>
      </c>
      <c r="AM29" s="39" t="n"/>
      <c r="AN29" s="40">
        <f>INDEX($O29:$AL29,1,AN$5*12)</f>
        <v/>
      </c>
      <c r="AO29" s="40">
        <f>INDEX($O29:$AL29,1,AO$5*12)</f>
        <v/>
      </c>
    </row>
    <row r="30">
      <c r="A30" s="5" t="inlineStr">
        <is>
          <t>Implementation: opening</t>
        </is>
      </c>
      <c r="B30" s="2" t="inlineStr">
        <is>
          <t>GBP k</t>
        </is>
      </c>
      <c r="O30" s="36">
        <f>N33</f>
        <v/>
      </c>
      <c r="P30" s="36">
        <f>O33</f>
        <v/>
      </c>
      <c r="Q30" s="36">
        <f>P33</f>
        <v/>
      </c>
      <c r="R30" s="36">
        <f>Q33</f>
        <v/>
      </c>
      <c r="S30" s="36">
        <f>R33</f>
        <v/>
      </c>
      <c r="T30" s="36">
        <f>S33</f>
        <v/>
      </c>
      <c r="U30" s="36">
        <f>T33</f>
        <v/>
      </c>
      <c r="V30" s="36">
        <f>U33</f>
        <v/>
      </c>
      <c r="W30" s="36">
        <f>V33</f>
        <v/>
      </c>
      <c r="X30" s="36">
        <f>W33</f>
        <v/>
      </c>
      <c r="Y30" s="36">
        <f>X33</f>
        <v/>
      </c>
      <c r="Z30" s="36">
        <f>Y33</f>
        <v/>
      </c>
      <c r="AA30" s="36">
        <f>Z33</f>
        <v/>
      </c>
      <c r="AB30" s="36">
        <f>AA33</f>
        <v/>
      </c>
      <c r="AC30" s="36">
        <f>AB33</f>
        <v/>
      </c>
      <c r="AD30" s="36">
        <f>AC33</f>
        <v/>
      </c>
      <c r="AE30" s="36">
        <f>AD33</f>
        <v/>
      </c>
      <c r="AF30" s="36">
        <f>AE33</f>
        <v/>
      </c>
      <c r="AG30" s="36">
        <f>AF33</f>
        <v/>
      </c>
      <c r="AH30" s="36">
        <f>AG33</f>
        <v/>
      </c>
      <c r="AI30" s="36">
        <f>AH33</f>
        <v/>
      </c>
      <c r="AJ30" s="36">
        <f>AI33</f>
        <v/>
      </c>
      <c r="AK30" s="36">
        <f>AJ33</f>
        <v/>
      </c>
      <c r="AL30" s="36">
        <f>AK33</f>
        <v/>
      </c>
      <c r="AN30" s="36">
        <f>INDEX($O30:$AL30,1,(AN$5-1)*12+1)</f>
        <v/>
      </c>
      <c r="AO30" s="36">
        <f>INDEX($O30:$AL30,1,(AO$5-1)*12+1)</f>
        <v/>
      </c>
    </row>
    <row r="31">
      <c r="A31" s="5" t="inlineStr">
        <is>
          <t>+ Fees billed</t>
        </is>
      </c>
      <c r="B31" s="2" t="inlineStr">
        <is>
          <t>GBP k</t>
        </is>
      </c>
      <c r="O31" s="36">
        <f>O15</f>
        <v/>
      </c>
      <c r="P31" s="36">
        <f>P15</f>
        <v/>
      </c>
      <c r="Q31" s="36">
        <f>Q15</f>
        <v/>
      </c>
      <c r="R31" s="36">
        <f>R15</f>
        <v/>
      </c>
      <c r="S31" s="36">
        <f>S15</f>
        <v/>
      </c>
      <c r="T31" s="36">
        <f>T15</f>
        <v/>
      </c>
      <c r="U31" s="36">
        <f>U15</f>
        <v/>
      </c>
      <c r="V31" s="36">
        <f>V15</f>
        <v/>
      </c>
      <c r="W31" s="36">
        <f>W15</f>
        <v/>
      </c>
      <c r="X31" s="36">
        <f>X15</f>
        <v/>
      </c>
      <c r="Y31" s="36">
        <f>Y15</f>
        <v/>
      </c>
      <c r="Z31" s="36">
        <f>Z15</f>
        <v/>
      </c>
      <c r="AA31" s="36">
        <f>AA15</f>
        <v/>
      </c>
      <c r="AB31" s="36">
        <f>AB15</f>
        <v/>
      </c>
      <c r="AC31" s="36">
        <f>AC15</f>
        <v/>
      </c>
      <c r="AD31" s="36">
        <f>AD15</f>
        <v/>
      </c>
      <c r="AE31" s="36">
        <f>AE15</f>
        <v/>
      </c>
      <c r="AF31" s="36">
        <f>AF15</f>
        <v/>
      </c>
      <c r="AG31" s="36">
        <f>AG15</f>
        <v/>
      </c>
      <c r="AH31" s="36">
        <f>AH15</f>
        <v/>
      </c>
      <c r="AI31" s="36">
        <f>AI15</f>
        <v/>
      </c>
      <c r="AJ31" s="36">
        <f>AJ15</f>
        <v/>
      </c>
      <c r="AK31" s="36">
        <f>AK15</f>
        <v/>
      </c>
      <c r="AL31" s="36">
        <f>AL15</f>
        <v/>
      </c>
      <c r="AN31" s="36">
        <f>SUMIF($O$5:$AL$5,AN$5,$O31:$AL31)</f>
        <v/>
      </c>
      <c r="AO31" s="36">
        <f>SUMIF($O$5:$AL$5,AO$5,$O31:$AL31)</f>
        <v/>
      </c>
    </row>
    <row r="32">
      <c r="A32" s="5" t="inlineStr">
        <is>
          <t>- Revenue recognised</t>
        </is>
      </c>
      <c r="B32" s="2" t="inlineStr">
        <is>
          <t>GBP k</t>
        </is>
      </c>
      <c r="O32" s="36">
        <f>-O21</f>
        <v/>
      </c>
      <c r="P32" s="36">
        <f>-P21</f>
        <v/>
      </c>
      <c r="Q32" s="36">
        <f>-Q21</f>
        <v/>
      </c>
      <c r="R32" s="36">
        <f>-R21</f>
        <v/>
      </c>
      <c r="S32" s="36">
        <f>-S21</f>
        <v/>
      </c>
      <c r="T32" s="36">
        <f>-T21</f>
        <v/>
      </c>
      <c r="U32" s="36">
        <f>-U21</f>
        <v/>
      </c>
      <c r="V32" s="36">
        <f>-V21</f>
        <v/>
      </c>
      <c r="W32" s="36">
        <f>-W21</f>
        <v/>
      </c>
      <c r="X32" s="36">
        <f>-X21</f>
        <v/>
      </c>
      <c r="Y32" s="36">
        <f>-Y21</f>
        <v/>
      </c>
      <c r="Z32" s="36">
        <f>-Z21</f>
        <v/>
      </c>
      <c r="AA32" s="36">
        <f>-AA21</f>
        <v/>
      </c>
      <c r="AB32" s="36">
        <f>-AB21</f>
        <v/>
      </c>
      <c r="AC32" s="36">
        <f>-AC21</f>
        <v/>
      </c>
      <c r="AD32" s="36">
        <f>-AD21</f>
        <v/>
      </c>
      <c r="AE32" s="36">
        <f>-AE21</f>
        <v/>
      </c>
      <c r="AF32" s="36">
        <f>-AF21</f>
        <v/>
      </c>
      <c r="AG32" s="36">
        <f>-AG21</f>
        <v/>
      </c>
      <c r="AH32" s="36">
        <f>-AH21</f>
        <v/>
      </c>
      <c r="AI32" s="36">
        <f>-AI21</f>
        <v/>
      </c>
      <c r="AJ32" s="36">
        <f>-AJ21</f>
        <v/>
      </c>
      <c r="AK32" s="36">
        <f>-AK21</f>
        <v/>
      </c>
      <c r="AL32" s="36">
        <f>-AL21</f>
        <v/>
      </c>
      <c r="AN32" s="36">
        <f>SUMIF($O$5:$AL$5,AN$5,$O32:$AL32)</f>
        <v/>
      </c>
      <c r="AO32" s="36">
        <f>SUMIF($O$5:$AL$5,AO$5,$O32:$AL32)</f>
        <v/>
      </c>
    </row>
    <row r="33">
      <c r="A33" s="37" t="inlineStr">
        <is>
          <t>Implementation: closing</t>
        </is>
      </c>
      <c r="B33" s="38" t="inlineStr">
        <is>
          <t>GBP k</t>
        </is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40">
        <f>inp_open_defrev_impl</f>
        <v/>
      </c>
      <c r="O33" s="40">
        <f>SUM(O30:O32)</f>
        <v/>
      </c>
      <c r="P33" s="40">
        <f>SUM(P30:P32)</f>
        <v/>
      </c>
      <c r="Q33" s="40">
        <f>SUM(Q30:Q32)</f>
        <v/>
      </c>
      <c r="R33" s="40">
        <f>SUM(R30:R32)</f>
        <v/>
      </c>
      <c r="S33" s="40">
        <f>SUM(S30:S32)</f>
        <v/>
      </c>
      <c r="T33" s="40">
        <f>SUM(T30:T32)</f>
        <v/>
      </c>
      <c r="U33" s="40">
        <f>SUM(U30:U32)</f>
        <v/>
      </c>
      <c r="V33" s="40">
        <f>SUM(V30:V32)</f>
        <v/>
      </c>
      <c r="W33" s="40">
        <f>SUM(W30:W32)</f>
        <v/>
      </c>
      <c r="X33" s="40">
        <f>SUM(X30:X32)</f>
        <v/>
      </c>
      <c r="Y33" s="40">
        <f>SUM(Y30:Y32)</f>
        <v/>
      </c>
      <c r="Z33" s="40">
        <f>SUM(Z30:Z32)</f>
        <v/>
      </c>
      <c r="AA33" s="40">
        <f>SUM(AA30:AA32)</f>
        <v/>
      </c>
      <c r="AB33" s="40">
        <f>SUM(AB30:AB32)</f>
        <v/>
      </c>
      <c r="AC33" s="40">
        <f>SUM(AC30:AC32)</f>
        <v/>
      </c>
      <c r="AD33" s="40">
        <f>SUM(AD30:AD32)</f>
        <v/>
      </c>
      <c r="AE33" s="40">
        <f>SUM(AE30:AE32)</f>
        <v/>
      </c>
      <c r="AF33" s="40">
        <f>SUM(AF30:AF32)</f>
        <v/>
      </c>
      <c r="AG33" s="40">
        <f>SUM(AG30:AG32)</f>
        <v/>
      </c>
      <c r="AH33" s="40">
        <f>SUM(AH30:AH32)</f>
        <v/>
      </c>
      <c r="AI33" s="40">
        <f>SUM(AI30:AI32)</f>
        <v/>
      </c>
      <c r="AJ33" s="40">
        <f>SUM(AJ30:AJ32)</f>
        <v/>
      </c>
      <c r="AK33" s="40">
        <f>SUM(AK30:AK32)</f>
        <v/>
      </c>
      <c r="AL33" s="40">
        <f>SUM(AL30:AL32)</f>
        <v/>
      </c>
      <c r="AM33" s="39" t="n"/>
      <c r="AN33" s="40">
        <f>INDEX($O33:$AL33,1,AN$5*12)</f>
        <v/>
      </c>
      <c r="AO33" s="40">
        <f>INDEX($O33:$AL33,1,AO$5*12)</f>
        <v/>
      </c>
    </row>
    <row r="34">
      <c r="A34" s="3" t="inlineStr">
        <is>
          <t>Total deferred revenue</t>
        </is>
      </c>
      <c r="B34" s="2" t="inlineStr">
        <is>
          <t>GBP k</t>
        </is>
      </c>
      <c r="N34" s="42">
        <f>N29+N33</f>
        <v/>
      </c>
      <c r="O34" s="42">
        <f>O29+O33</f>
        <v/>
      </c>
      <c r="P34" s="42">
        <f>P29+P33</f>
        <v/>
      </c>
      <c r="Q34" s="42">
        <f>Q29+Q33</f>
        <v/>
      </c>
      <c r="R34" s="42">
        <f>R29+R33</f>
        <v/>
      </c>
      <c r="S34" s="42">
        <f>S29+S33</f>
        <v/>
      </c>
      <c r="T34" s="42">
        <f>T29+T33</f>
        <v/>
      </c>
      <c r="U34" s="42">
        <f>U29+U33</f>
        <v/>
      </c>
      <c r="V34" s="42">
        <f>V29+V33</f>
        <v/>
      </c>
      <c r="W34" s="42">
        <f>W29+W33</f>
        <v/>
      </c>
      <c r="X34" s="42">
        <f>X29+X33</f>
        <v/>
      </c>
      <c r="Y34" s="42">
        <f>Y29+Y33</f>
        <v/>
      </c>
      <c r="Z34" s="42">
        <f>Z29+Z33</f>
        <v/>
      </c>
      <c r="AA34" s="42">
        <f>AA29+AA33</f>
        <v/>
      </c>
      <c r="AB34" s="42">
        <f>AB29+AB33</f>
        <v/>
      </c>
      <c r="AC34" s="42">
        <f>AC29+AC33</f>
        <v/>
      </c>
      <c r="AD34" s="42">
        <f>AD29+AD33</f>
        <v/>
      </c>
      <c r="AE34" s="42">
        <f>AE29+AE33</f>
        <v/>
      </c>
      <c r="AF34" s="42">
        <f>AF29+AF33</f>
        <v/>
      </c>
      <c r="AG34" s="42">
        <f>AG29+AG33</f>
        <v/>
      </c>
      <c r="AH34" s="42">
        <f>AH29+AH33</f>
        <v/>
      </c>
      <c r="AI34" s="42">
        <f>AI29+AI33</f>
        <v/>
      </c>
      <c r="AJ34" s="42">
        <f>AJ29+AJ33</f>
        <v/>
      </c>
      <c r="AK34" s="42">
        <f>AK29+AK33</f>
        <v/>
      </c>
      <c r="AL34" s="42">
        <f>AL29+AL33</f>
        <v/>
      </c>
      <c r="AN34" s="42">
        <f>INDEX($O34:$AL34,1,AN$5*12)</f>
        <v/>
      </c>
      <c r="AO34" s="42">
        <f>INDEX($O34:$AL34,1,AO$5*12)</f>
        <v/>
      </c>
    </row>
    <row r="36">
      <c r="A36" s="13" t="inlineStr">
        <is>
          <t>Trade receivables (payment terms)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3" t="inlineStr">
        <is>
          <t>Trade receivables</t>
        </is>
      </c>
      <c r="B37" s="2" t="inlineStr">
        <is>
          <t>GBP k</t>
        </is>
      </c>
      <c r="N37" s="42">
        <f>inp_open_ar</f>
        <v/>
      </c>
      <c r="O37" s="42">
        <f>O23*MIN(1,inp_dso/30)+N23*MAX(0,MIN(1,(inp_dso-30)/30))</f>
        <v/>
      </c>
      <c r="P37" s="42">
        <f>P23*MIN(1,inp_dso/30)+O23*MAX(0,MIN(1,(inp_dso-30)/30))</f>
        <v/>
      </c>
      <c r="Q37" s="42">
        <f>Q23*MIN(1,inp_dso/30)+P23*MAX(0,MIN(1,(inp_dso-30)/30))</f>
        <v/>
      </c>
      <c r="R37" s="42">
        <f>R23*MIN(1,inp_dso/30)+Q23*MAX(0,MIN(1,(inp_dso-30)/30))</f>
        <v/>
      </c>
      <c r="S37" s="42">
        <f>S23*MIN(1,inp_dso/30)+R23*MAX(0,MIN(1,(inp_dso-30)/30))</f>
        <v/>
      </c>
      <c r="T37" s="42">
        <f>T23*MIN(1,inp_dso/30)+S23*MAX(0,MIN(1,(inp_dso-30)/30))</f>
        <v/>
      </c>
      <c r="U37" s="42">
        <f>U23*MIN(1,inp_dso/30)+T23*MAX(0,MIN(1,(inp_dso-30)/30))</f>
        <v/>
      </c>
      <c r="V37" s="42">
        <f>V23*MIN(1,inp_dso/30)+U23*MAX(0,MIN(1,(inp_dso-30)/30))</f>
        <v/>
      </c>
      <c r="W37" s="42">
        <f>W23*MIN(1,inp_dso/30)+V23*MAX(0,MIN(1,(inp_dso-30)/30))</f>
        <v/>
      </c>
      <c r="X37" s="42">
        <f>X23*MIN(1,inp_dso/30)+W23*MAX(0,MIN(1,(inp_dso-30)/30))</f>
        <v/>
      </c>
      <c r="Y37" s="42">
        <f>Y23*MIN(1,inp_dso/30)+X23*MAX(0,MIN(1,(inp_dso-30)/30))</f>
        <v/>
      </c>
      <c r="Z37" s="42">
        <f>Z23*MIN(1,inp_dso/30)+Y23*MAX(0,MIN(1,(inp_dso-30)/30))</f>
        <v/>
      </c>
      <c r="AA37" s="42">
        <f>AA23*MIN(1,inp_dso/30)+Z23*MAX(0,MIN(1,(inp_dso-30)/30))</f>
        <v/>
      </c>
      <c r="AB37" s="42">
        <f>AB23*MIN(1,inp_dso/30)+AA23*MAX(0,MIN(1,(inp_dso-30)/30))</f>
        <v/>
      </c>
      <c r="AC37" s="42">
        <f>AC23*MIN(1,inp_dso/30)+AB23*MAX(0,MIN(1,(inp_dso-30)/30))</f>
        <v/>
      </c>
      <c r="AD37" s="42">
        <f>AD23*MIN(1,inp_dso/30)+AC23*MAX(0,MIN(1,(inp_dso-30)/30))</f>
        <v/>
      </c>
      <c r="AE37" s="42">
        <f>AE23*MIN(1,inp_dso/30)+AD23*MAX(0,MIN(1,(inp_dso-30)/30))</f>
        <v/>
      </c>
      <c r="AF37" s="42">
        <f>AF23*MIN(1,inp_dso/30)+AE23*MAX(0,MIN(1,(inp_dso-30)/30))</f>
        <v/>
      </c>
      <c r="AG37" s="42">
        <f>AG23*MIN(1,inp_dso/30)+AF23*MAX(0,MIN(1,(inp_dso-30)/30))</f>
        <v/>
      </c>
      <c r="AH37" s="42">
        <f>AH23*MIN(1,inp_dso/30)+AG23*MAX(0,MIN(1,(inp_dso-30)/30))</f>
        <v/>
      </c>
      <c r="AI37" s="42">
        <f>AI23*MIN(1,inp_dso/30)+AH23*MAX(0,MIN(1,(inp_dso-30)/30))</f>
        <v/>
      </c>
      <c r="AJ37" s="42">
        <f>AJ23*MIN(1,inp_dso/30)+AI23*MAX(0,MIN(1,(inp_dso-30)/30))</f>
        <v/>
      </c>
      <c r="AK37" s="42">
        <f>AK23*MIN(1,inp_dso/30)+AJ23*MAX(0,MIN(1,(inp_dso-30)/30))</f>
        <v/>
      </c>
      <c r="AL37" s="42">
        <f>AL23*MIN(1,inp_dso/30)+AK23*MAX(0,MIN(1,(inp_dso-30)/30))</f>
        <v/>
      </c>
      <c r="AN37" s="42">
        <f>INDEX($O37:$AL37,1,AN$5*12)</f>
        <v/>
      </c>
      <c r="AO37" s="42">
        <f>INDEX($O37:$AL37,1,AO$5*12)</f>
        <v/>
      </c>
    </row>
    <row r="39">
      <c r="A39" s="13" t="inlineStr">
        <is>
          <t>Memo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5" t="inlineStr">
        <is>
          <t>Subscription revenue / (closing ARR / 12)</t>
        </is>
      </c>
      <c r="B40" s="2" t="inlineStr">
        <is>
          <t>%</t>
        </is>
      </c>
      <c r="O40" s="35">
        <f>O20/(Rev_Build!O47/12)</f>
        <v/>
      </c>
      <c r="P40" s="35">
        <f>P20/(Rev_Build!P47/12)</f>
        <v/>
      </c>
      <c r="Q40" s="35">
        <f>Q20/(Rev_Build!Q47/12)</f>
        <v/>
      </c>
      <c r="R40" s="35">
        <f>R20/(Rev_Build!R47/12)</f>
        <v/>
      </c>
      <c r="S40" s="35">
        <f>S20/(Rev_Build!S47/12)</f>
        <v/>
      </c>
      <c r="T40" s="35">
        <f>T20/(Rev_Build!T47/12)</f>
        <v/>
      </c>
      <c r="U40" s="35">
        <f>U20/(Rev_Build!U47/12)</f>
        <v/>
      </c>
      <c r="V40" s="35">
        <f>V20/(Rev_Build!V47/12)</f>
        <v/>
      </c>
      <c r="W40" s="35">
        <f>W20/(Rev_Build!W47/12)</f>
        <v/>
      </c>
      <c r="X40" s="35">
        <f>X20/(Rev_Build!X47/12)</f>
        <v/>
      </c>
      <c r="Y40" s="35">
        <f>Y20/(Rev_Build!Y47/12)</f>
        <v/>
      </c>
      <c r="Z40" s="35">
        <f>Z20/(Rev_Build!Z47/12)</f>
        <v/>
      </c>
      <c r="AA40" s="35">
        <f>AA20/(Rev_Build!AA47/12)</f>
        <v/>
      </c>
      <c r="AB40" s="35">
        <f>AB20/(Rev_Build!AB47/12)</f>
        <v/>
      </c>
      <c r="AC40" s="35">
        <f>AC20/(Rev_Build!AC47/12)</f>
        <v/>
      </c>
      <c r="AD40" s="35">
        <f>AD20/(Rev_Build!AD47/12)</f>
        <v/>
      </c>
      <c r="AE40" s="35">
        <f>AE20/(Rev_Build!AE47/12)</f>
        <v/>
      </c>
      <c r="AF40" s="35">
        <f>AF20/(Rev_Build!AF47/12)</f>
        <v/>
      </c>
      <c r="AG40" s="35">
        <f>AG20/(Rev_Build!AG47/12)</f>
        <v/>
      </c>
      <c r="AH40" s="35">
        <f>AH20/(Rev_Build!AH47/12)</f>
        <v/>
      </c>
      <c r="AI40" s="35">
        <f>AI20/(Rev_Build!AI47/12)</f>
        <v/>
      </c>
      <c r="AJ40" s="35">
        <f>AJ20/(Rev_Build!AJ47/12)</f>
        <v/>
      </c>
      <c r="AK40" s="35">
        <f>AK20/(Rev_Build!AK47/12)</f>
        <v/>
      </c>
      <c r="AL40" s="35">
        <f>AL20/(Rev_Build!AL47/12)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Headcount_Opex - headcount by function, payroll and non-headcount opex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Headcount - R&amp;D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Opening FTE</t>
        </is>
      </c>
      <c r="B9" s="2" t="inlineStr">
        <is>
          <t>FTE</t>
        </is>
      </c>
      <c r="O9" s="34">
        <f>N11</f>
        <v/>
      </c>
      <c r="P9" s="34">
        <f>O11</f>
        <v/>
      </c>
      <c r="Q9" s="34">
        <f>P11</f>
        <v/>
      </c>
      <c r="R9" s="34">
        <f>Q11</f>
        <v/>
      </c>
      <c r="S9" s="34">
        <f>R11</f>
        <v/>
      </c>
      <c r="T9" s="34">
        <f>S11</f>
        <v/>
      </c>
      <c r="U9" s="34">
        <f>T11</f>
        <v/>
      </c>
      <c r="V9" s="34">
        <f>U11</f>
        <v/>
      </c>
      <c r="W9" s="34">
        <f>V11</f>
        <v/>
      </c>
      <c r="X9" s="34">
        <f>W11</f>
        <v/>
      </c>
      <c r="Y9" s="34">
        <f>X11</f>
        <v/>
      </c>
      <c r="Z9" s="34">
        <f>Y11</f>
        <v/>
      </c>
      <c r="AA9" s="34">
        <f>Z11</f>
        <v/>
      </c>
      <c r="AB9" s="34">
        <f>AA11</f>
        <v/>
      </c>
      <c r="AC9" s="34">
        <f>AB11</f>
        <v/>
      </c>
      <c r="AD9" s="34">
        <f>AC11</f>
        <v/>
      </c>
      <c r="AE9" s="34">
        <f>AD11</f>
        <v/>
      </c>
      <c r="AF9" s="34">
        <f>AE11</f>
        <v/>
      </c>
      <c r="AG9" s="34">
        <f>AF11</f>
        <v/>
      </c>
      <c r="AH9" s="34">
        <f>AG11</f>
        <v/>
      </c>
      <c r="AI9" s="34">
        <f>AH11</f>
        <v/>
      </c>
      <c r="AJ9" s="34">
        <f>AI11</f>
        <v/>
      </c>
      <c r="AK9" s="34">
        <f>AJ11</f>
        <v/>
      </c>
      <c r="AL9" s="34">
        <f>AK11</f>
        <v/>
      </c>
      <c r="AN9" s="34">
        <f>INDEX($O9:$AL9,1,(AN$5-1)*12+1)</f>
        <v/>
      </c>
      <c r="AO9" s="34">
        <f>INDEX($O9:$AL9,1,(AO$5-1)*12+1)</f>
        <v/>
      </c>
    </row>
    <row r="10">
      <c r="A10" s="5" t="inlineStr">
        <is>
          <t>+ Net hires</t>
        </is>
      </c>
      <c r="B10" s="2" t="inlineStr">
        <is>
          <t>FTE</t>
        </is>
      </c>
      <c r="O10" s="34">
        <f>inp_hires_rd</f>
        <v/>
      </c>
      <c r="P10" s="34">
        <f>inp_hires_rd</f>
        <v/>
      </c>
      <c r="Q10" s="34">
        <f>inp_hires_rd</f>
        <v/>
      </c>
      <c r="R10" s="34">
        <f>inp_hires_rd</f>
        <v/>
      </c>
      <c r="S10" s="34">
        <f>inp_hires_rd</f>
        <v/>
      </c>
      <c r="T10" s="34">
        <f>inp_hires_rd</f>
        <v/>
      </c>
      <c r="U10" s="34">
        <f>inp_hires_rd</f>
        <v/>
      </c>
      <c r="V10" s="34">
        <f>inp_hires_rd</f>
        <v/>
      </c>
      <c r="W10" s="34">
        <f>inp_hires_rd</f>
        <v/>
      </c>
      <c r="X10" s="34">
        <f>inp_hires_rd</f>
        <v/>
      </c>
      <c r="Y10" s="34">
        <f>inp_hires_rd</f>
        <v/>
      </c>
      <c r="Z10" s="34">
        <f>inp_hires_rd</f>
        <v/>
      </c>
      <c r="AA10" s="34">
        <f>inp_hires_rd</f>
        <v/>
      </c>
      <c r="AB10" s="34">
        <f>inp_hires_rd</f>
        <v/>
      </c>
      <c r="AC10" s="34">
        <f>inp_hires_rd</f>
        <v/>
      </c>
      <c r="AD10" s="34">
        <f>inp_hires_rd</f>
        <v/>
      </c>
      <c r="AE10" s="34">
        <f>inp_hires_rd</f>
        <v/>
      </c>
      <c r="AF10" s="34">
        <f>inp_hires_rd</f>
        <v/>
      </c>
      <c r="AG10" s="34">
        <f>inp_hires_rd</f>
        <v/>
      </c>
      <c r="AH10" s="34">
        <f>inp_hires_rd</f>
        <v/>
      </c>
      <c r="AI10" s="34">
        <f>inp_hires_rd</f>
        <v/>
      </c>
      <c r="AJ10" s="34">
        <f>inp_hires_rd</f>
        <v/>
      </c>
      <c r="AK10" s="34">
        <f>inp_hires_rd</f>
        <v/>
      </c>
      <c r="AL10" s="34">
        <f>inp_hires_rd</f>
        <v/>
      </c>
      <c r="AN10" s="34">
        <f>SUMIF($O$5:$AL$5,AN$5,$O10:$AL10)</f>
        <v/>
      </c>
      <c r="AO10" s="34">
        <f>SUMIF($O$5:$AL$5,AO$5,$O10:$AL10)</f>
        <v/>
      </c>
    </row>
    <row r="11">
      <c r="A11" s="37" t="inlineStr">
        <is>
          <t>Closing FTE</t>
        </is>
      </c>
      <c r="B11" s="38" t="inlineStr">
        <is>
          <t>FTE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41">
        <f>inp_heads_open_rd</f>
        <v/>
      </c>
      <c r="O11" s="41">
        <f>O9+O10</f>
        <v/>
      </c>
      <c r="P11" s="41">
        <f>P9+P10</f>
        <v/>
      </c>
      <c r="Q11" s="41">
        <f>Q9+Q10</f>
        <v/>
      </c>
      <c r="R11" s="41">
        <f>R9+R10</f>
        <v/>
      </c>
      <c r="S11" s="41">
        <f>S9+S10</f>
        <v/>
      </c>
      <c r="T11" s="41">
        <f>T9+T10</f>
        <v/>
      </c>
      <c r="U11" s="41">
        <f>U9+U10</f>
        <v/>
      </c>
      <c r="V11" s="41">
        <f>V9+V10</f>
        <v/>
      </c>
      <c r="W11" s="41">
        <f>W9+W10</f>
        <v/>
      </c>
      <c r="X11" s="41">
        <f>X9+X10</f>
        <v/>
      </c>
      <c r="Y11" s="41">
        <f>Y9+Y10</f>
        <v/>
      </c>
      <c r="Z11" s="41">
        <f>Z9+Z10</f>
        <v/>
      </c>
      <c r="AA11" s="41">
        <f>AA9+AA10</f>
        <v/>
      </c>
      <c r="AB11" s="41">
        <f>AB9+AB10</f>
        <v/>
      </c>
      <c r="AC11" s="41">
        <f>AC9+AC10</f>
        <v/>
      </c>
      <c r="AD11" s="41">
        <f>AD9+AD10</f>
        <v/>
      </c>
      <c r="AE11" s="41">
        <f>AE9+AE10</f>
        <v/>
      </c>
      <c r="AF11" s="41">
        <f>AF9+AF10</f>
        <v/>
      </c>
      <c r="AG11" s="41">
        <f>AG9+AG10</f>
        <v/>
      </c>
      <c r="AH11" s="41">
        <f>AH9+AH10</f>
        <v/>
      </c>
      <c r="AI11" s="41">
        <f>AI9+AI10</f>
        <v/>
      </c>
      <c r="AJ11" s="41">
        <f>AJ9+AJ10</f>
        <v/>
      </c>
      <c r="AK11" s="41">
        <f>AK9+AK10</f>
        <v/>
      </c>
      <c r="AL11" s="41">
        <f>AL9+AL10</f>
        <v/>
      </c>
      <c r="AM11" s="39" t="n"/>
      <c r="AN11" s="41">
        <f>INDEX($O11:$AL11,1,AN$5*12)</f>
        <v/>
      </c>
      <c r="AO11" s="41">
        <f>INDEX($O11:$AL11,1,AO$5*12)</f>
        <v/>
      </c>
    </row>
    <row r="12">
      <c r="A12" s="5" t="inlineStr">
        <is>
          <t>Payroll cost (average FTE x loaded cost / 12 x pay-rise factor)</t>
        </is>
      </c>
      <c r="B12" s="2" t="inlineStr">
        <is>
          <t>GBP k</t>
        </is>
      </c>
      <c r="O12" s="36">
        <f>(O9+O11)/2*inp_sal_rd/12*(1+inp_merit)^(O$5-1)</f>
        <v/>
      </c>
      <c r="P12" s="36">
        <f>(P9+P11)/2*inp_sal_rd/12*(1+inp_merit)^(P$5-1)</f>
        <v/>
      </c>
      <c r="Q12" s="36">
        <f>(Q9+Q11)/2*inp_sal_rd/12*(1+inp_merit)^(Q$5-1)</f>
        <v/>
      </c>
      <c r="R12" s="36">
        <f>(R9+R11)/2*inp_sal_rd/12*(1+inp_merit)^(R$5-1)</f>
        <v/>
      </c>
      <c r="S12" s="36">
        <f>(S9+S11)/2*inp_sal_rd/12*(1+inp_merit)^(S$5-1)</f>
        <v/>
      </c>
      <c r="T12" s="36">
        <f>(T9+T11)/2*inp_sal_rd/12*(1+inp_merit)^(T$5-1)</f>
        <v/>
      </c>
      <c r="U12" s="36">
        <f>(U9+U11)/2*inp_sal_rd/12*(1+inp_merit)^(U$5-1)</f>
        <v/>
      </c>
      <c r="V12" s="36">
        <f>(V9+V11)/2*inp_sal_rd/12*(1+inp_merit)^(V$5-1)</f>
        <v/>
      </c>
      <c r="W12" s="36">
        <f>(W9+W11)/2*inp_sal_rd/12*(1+inp_merit)^(W$5-1)</f>
        <v/>
      </c>
      <c r="X12" s="36">
        <f>(X9+X11)/2*inp_sal_rd/12*(1+inp_merit)^(X$5-1)</f>
        <v/>
      </c>
      <c r="Y12" s="36">
        <f>(Y9+Y11)/2*inp_sal_rd/12*(1+inp_merit)^(Y$5-1)</f>
        <v/>
      </c>
      <c r="Z12" s="36">
        <f>(Z9+Z11)/2*inp_sal_rd/12*(1+inp_merit)^(Z$5-1)</f>
        <v/>
      </c>
      <c r="AA12" s="36">
        <f>(AA9+AA11)/2*inp_sal_rd/12*(1+inp_merit)^(AA$5-1)</f>
        <v/>
      </c>
      <c r="AB12" s="36">
        <f>(AB9+AB11)/2*inp_sal_rd/12*(1+inp_merit)^(AB$5-1)</f>
        <v/>
      </c>
      <c r="AC12" s="36">
        <f>(AC9+AC11)/2*inp_sal_rd/12*(1+inp_merit)^(AC$5-1)</f>
        <v/>
      </c>
      <c r="AD12" s="36">
        <f>(AD9+AD11)/2*inp_sal_rd/12*(1+inp_merit)^(AD$5-1)</f>
        <v/>
      </c>
      <c r="AE12" s="36">
        <f>(AE9+AE11)/2*inp_sal_rd/12*(1+inp_merit)^(AE$5-1)</f>
        <v/>
      </c>
      <c r="AF12" s="36">
        <f>(AF9+AF11)/2*inp_sal_rd/12*(1+inp_merit)^(AF$5-1)</f>
        <v/>
      </c>
      <c r="AG12" s="36">
        <f>(AG9+AG11)/2*inp_sal_rd/12*(1+inp_merit)^(AG$5-1)</f>
        <v/>
      </c>
      <c r="AH12" s="36">
        <f>(AH9+AH11)/2*inp_sal_rd/12*(1+inp_merit)^(AH$5-1)</f>
        <v/>
      </c>
      <c r="AI12" s="36">
        <f>(AI9+AI11)/2*inp_sal_rd/12*(1+inp_merit)^(AI$5-1)</f>
        <v/>
      </c>
      <c r="AJ12" s="36">
        <f>(AJ9+AJ11)/2*inp_sal_rd/12*(1+inp_merit)^(AJ$5-1)</f>
        <v/>
      </c>
      <c r="AK12" s="36">
        <f>(AK9+AK11)/2*inp_sal_rd/12*(1+inp_merit)^(AK$5-1)</f>
        <v/>
      </c>
      <c r="AL12" s="36">
        <f>(AL9+AL11)/2*inp_sal_rd/12*(1+inp_merit)^(AL$5-1)</f>
        <v/>
      </c>
      <c r="AN12" s="36">
        <f>SUMIF($O$5:$AL$5,AN$5,$O12:$AL12)</f>
        <v/>
      </c>
      <c r="AO12" s="36">
        <f>SUMIF($O$5:$AL$5,AO$5,$O12:$AL12)</f>
        <v/>
      </c>
    </row>
    <row r="14">
      <c r="A14" s="13" t="inlineStr">
        <is>
          <t>Headcount - Sales &amp; Marketing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5" t="inlineStr">
        <is>
          <t>Opening FTE</t>
        </is>
      </c>
      <c r="B15" s="2" t="inlineStr">
        <is>
          <t>FTE</t>
        </is>
      </c>
      <c r="O15" s="34">
        <f>N17</f>
        <v/>
      </c>
      <c r="P15" s="34">
        <f>O17</f>
        <v/>
      </c>
      <c r="Q15" s="34">
        <f>P17</f>
        <v/>
      </c>
      <c r="R15" s="34">
        <f>Q17</f>
        <v/>
      </c>
      <c r="S15" s="34">
        <f>R17</f>
        <v/>
      </c>
      <c r="T15" s="34">
        <f>S17</f>
        <v/>
      </c>
      <c r="U15" s="34">
        <f>T17</f>
        <v/>
      </c>
      <c r="V15" s="34">
        <f>U17</f>
        <v/>
      </c>
      <c r="W15" s="34">
        <f>V17</f>
        <v/>
      </c>
      <c r="X15" s="34">
        <f>W17</f>
        <v/>
      </c>
      <c r="Y15" s="34">
        <f>X17</f>
        <v/>
      </c>
      <c r="Z15" s="34">
        <f>Y17</f>
        <v/>
      </c>
      <c r="AA15" s="34">
        <f>Z17</f>
        <v/>
      </c>
      <c r="AB15" s="34">
        <f>AA17</f>
        <v/>
      </c>
      <c r="AC15" s="34">
        <f>AB17</f>
        <v/>
      </c>
      <c r="AD15" s="34">
        <f>AC17</f>
        <v/>
      </c>
      <c r="AE15" s="34">
        <f>AD17</f>
        <v/>
      </c>
      <c r="AF15" s="34">
        <f>AE17</f>
        <v/>
      </c>
      <c r="AG15" s="34">
        <f>AF17</f>
        <v/>
      </c>
      <c r="AH15" s="34">
        <f>AG17</f>
        <v/>
      </c>
      <c r="AI15" s="34">
        <f>AH17</f>
        <v/>
      </c>
      <c r="AJ15" s="34">
        <f>AI17</f>
        <v/>
      </c>
      <c r="AK15" s="34">
        <f>AJ17</f>
        <v/>
      </c>
      <c r="AL15" s="34">
        <f>AK17</f>
        <v/>
      </c>
      <c r="AN15" s="34">
        <f>INDEX($O15:$AL15,1,(AN$5-1)*12+1)</f>
        <v/>
      </c>
      <c r="AO15" s="34">
        <f>INDEX($O15:$AL15,1,(AO$5-1)*12+1)</f>
        <v/>
      </c>
    </row>
    <row r="16">
      <c r="A16" s="5" t="inlineStr">
        <is>
          <t>+ Net hires</t>
        </is>
      </c>
      <c r="B16" s="2" t="inlineStr">
        <is>
          <t>FTE</t>
        </is>
      </c>
      <c r="O16" s="34">
        <f>inp_hires_sm</f>
        <v/>
      </c>
      <c r="P16" s="34">
        <f>inp_hires_sm</f>
        <v/>
      </c>
      <c r="Q16" s="34">
        <f>inp_hires_sm</f>
        <v/>
      </c>
      <c r="R16" s="34">
        <f>inp_hires_sm</f>
        <v/>
      </c>
      <c r="S16" s="34">
        <f>inp_hires_sm</f>
        <v/>
      </c>
      <c r="T16" s="34">
        <f>inp_hires_sm</f>
        <v/>
      </c>
      <c r="U16" s="34">
        <f>inp_hires_sm</f>
        <v/>
      </c>
      <c r="V16" s="34">
        <f>inp_hires_sm</f>
        <v/>
      </c>
      <c r="W16" s="34">
        <f>inp_hires_sm</f>
        <v/>
      </c>
      <c r="X16" s="34">
        <f>inp_hires_sm</f>
        <v/>
      </c>
      <c r="Y16" s="34">
        <f>inp_hires_sm</f>
        <v/>
      </c>
      <c r="Z16" s="34">
        <f>inp_hires_sm</f>
        <v/>
      </c>
      <c r="AA16" s="34">
        <f>inp_hires_sm</f>
        <v/>
      </c>
      <c r="AB16" s="34">
        <f>inp_hires_sm</f>
        <v/>
      </c>
      <c r="AC16" s="34">
        <f>inp_hires_sm</f>
        <v/>
      </c>
      <c r="AD16" s="34">
        <f>inp_hires_sm</f>
        <v/>
      </c>
      <c r="AE16" s="34">
        <f>inp_hires_sm</f>
        <v/>
      </c>
      <c r="AF16" s="34">
        <f>inp_hires_sm</f>
        <v/>
      </c>
      <c r="AG16" s="34">
        <f>inp_hires_sm</f>
        <v/>
      </c>
      <c r="AH16" s="34">
        <f>inp_hires_sm</f>
        <v/>
      </c>
      <c r="AI16" s="34">
        <f>inp_hires_sm</f>
        <v/>
      </c>
      <c r="AJ16" s="34">
        <f>inp_hires_sm</f>
        <v/>
      </c>
      <c r="AK16" s="34">
        <f>inp_hires_sm</f>
        <v/>
      </c>
      <c r="AL16" s="34">
        <f>inp_hires_sm</f>
        <v/>
      </c>
      <c r="AN16" s="34">
        <f>SUMIF($O$5:$AL$5,AN$5,$O16:$AL16)</f>
        <v/>
      </c>
      <c r="AO16" s="34">
        <f>SUMIF($O$5:$AL$5,AO$5,$O16:$AL16)</f>
        <v/>
      </c>
    </row>
    <row r="17">
      <c r="A17" s="37" t="inlineStr">
        <is>
          <t>Closing FTE</t>
        </is>
      </c>
      <c r="B17" s="38" t="inlineStr">
        <is>
          <t>FTE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41">
        <f>inp_heads_open_sm</f>
        <v/>
      </c>
      <c r="O17" s="41">
        <f>O15+O16</f>
        <v/>
      </c>
      <c r="P17" s="41">
        <f>P15+P16</f>
        <v/>
      </c>
      <c r="Q17" s="41">
        <f>Q15+Q16</f>
        <v/>
      </c>
      <c r="R17" s="41">
        <f>R15+R16</f>
        <v/>
      </c>
      <c r="S17" s="41">
        <f>S15+S16</f>
        <v/>
      </c>
      <c r="T17" s="41">
        <f>T15+T16</f>
        <v/>
      </c>
      <c r="U17" s="41">
        <f>U15+U16</f>
        <v/>
      </c>
      <c r="V17" s="41">
        <f>V15+V16</f>
        <v/>
      </c>
      <c r="W17" s="41">
        <f>W15+W16</f>
        <v/>
      </c>
      <c r="X17" s="41">
        <f>X15+X16</f>
        <v/>
      </c>
      <c r="Y17" s="41">
        <f>Y15+Y16</f>
        <v/>
      </c>
      <c r="Z17" s="41">
        <f>Z15+Z16</f>
        <v/>
      </c>
      <c r="AA17" s="41">
        <f>AA15+AA16</f>
        <v/>
      </c>
      <c r="AB17" s="41">
        <f>AB15+AB16</f>
        <v/>
      </c>
      <c r="AC17" s="41">
        <f>AC15+AC16</f>
        <v/>
      </c>
      <c r="AD17" s="41">
        <f>AD15+AD16</f>
        <v/>
      </c>
      <c r="AE17" s="41">
        <f>AE15+AE16</f>
        <v/>
      </c>
      <c r="AF17" s="41">
        <f>AF15+AF16</f>
        <v/>
      </c>
      <c r="AG17" s="41">
        <f>AG15+AG16</f>
        <v/>
      </c>
      <c r="AH17" s="41">
        <f>AH15+AH16</f>
        <v/>
      </c>
      <c r="AI17" s="41">
        <f>AI15+AI16</f>
        <v/>
      </c>
      <c r="AJ17" s="41">
        <f>AJ15+AJ16</f>
        <v/>
      </c>
      <c r="AK17" s="41">
        <f>AK15+AK16</f>
        <v/>
      </c>
      <c r="AL17" s="41">
        <f>AL15+AL16</f>
        <v/>
      </c>
      <c r="AM17" s="39" t="n"/>
      <c r="AN17" s="41">
        <f>INDEX($O17:$AL17,1,AN$5*12)</f>
        <v/>
      </c>
      <c r="AO17" s="41">
        <f>INDEX($O17:$AL17,1,AO$5*12)</f>
        <v/>
      </c>
    </row>
    <row r="18">
      <c r="A18" s="5" t="inlineStr">
        <is>
          <t>Payroll cost (average FTE x loaded cost / 12 x pay-rise factor)</t>
        </is>
      </c>
      <c r="B18" s="2" t="inlineStr">
        <is>
          <t>GBP k</t>
        </is>
      </c>
      <c r="O18" s="36">
        <f>(O15+O17)/2*inp_sal_sm/12*(1+inp_merit)^(O$5-1)</f>
        <v/>
      </c>
      <c r="P18" s="36">
        <f>(P15+P17)/2*inp_sal_sm/12*(1+inp_merit)^(P$5-1)</f>
        <v/>
      </c>
      <c r="Q18" s="36">
        <f>(Q15+Q17)/2*inp_sal_sm/12*(1+inp_merit)^(Q$5-1)</f>
        <v/>
      </c>
      <c r="R18" s="36">
        <f>(R15+R17)/2*inp_sal_sm/12*(1+inp_merit)^(R$5-1)</f>
        <v/>
      </c>
      <c r="S18" s="36">
        <f>(S15+S17)/2*inp_sal_sm/12*(1+inp_merit)^(S$5-1)</f>
        <v/>
      </c>
      <c r="T18" s="36">
        <f>(T15+T17)/2*inp_sal_sm/12*(1+inp_merit)^(T$5-1)</f>
        <v/>
      </c>
      <c r="U18" s="36">
        <f>(U15+U17)/2*inp_sal_sm/12*(1+inp_merit)^(U$5-1)</f>
        <v/>
      </c>
      <c r="V18" s="36">
        <f>(V15+V17)/2*inp_sal_sm/12*(1+inp_merit)^(V$5-1)</f>
        <v/>
      </c>
      <c r="W18" s="36">
        <f>(W15+W17)/2*inp_sal_sm/12*(1+inp_merit)^(W$5-1)</f>
        <v/>
      </c>
      <c r="X18" s="36">
        <f>(X15+X17)/2*inp_sal_sm/12*(1+inp_merit)^(X$5-1)</f>
        <v/>
      </c>
      <c r="Y18" s="36">
        <f>(Y15+Y17)/2*inp_sal_sm/12*(1+inp_merit)^(Y$5-1)</f>
        <v/>
      </c>
      <c r="Z18" s="36">
        <f>(Z15+Z17)/2*inp_sal_sm/12*(1+inp_merit)^(Z$5-1)</f>
        <v/>
      </c>
      <c r="AA18" s="36">
        <f>(AA15+AA17)/2*inp_sal_sm/12*(1+inp_merit)^(AA$5-1)</f>
        <v/>
      </c>
      <c r="AB18" s="36">
        <f>(AB15+AB17)/2*inp_sal_sm/12*(1+inp_merit)^(AB$5-1)</f>
        <v/>
      </c>
      <c r="AC18" s="36">
        <f>(AC15+AC17)/2*inp_sal_sm/12*(1+inp_merit)^(AC$5-1)</f>
        <v/>
      </c>
      <c r="AD18" s="36">
        <f>(AD15+AD17)/2*inp_sal_sm/12*(1+inp_merit)^(AD$5-1)</f>
        <v/>
      </c>
      <c r="AE18" s="36">
        <f>(AE15+AE17)/2*inp_sal_sm/12*(1+inp_merit)^(AE$5-1)</f>
        <v/>
      </c>
      <c r="AF18" s="36">
        <f>(AF15+AF17)/2*inp_sal_sm/12*(1+inp_merit)^(AF$5-1)</f>
        <v/>
      </c>
      <c r="AG18" s="36">
        <f>(AG15+AG17)/2*inp_sal_sm/12*(1+inp_merit)^(AG$5-1)</f>
        <v/>
      </c>
      <c r="AH18" s="36">
        <f>(AH15+AH17)/2*inp_sal_sm/12*(1+inp_merit)^(AH$5-1)</f>
        <v/>
      </c>
      <c r="AI18" s="36">
        <f>(AI15+AI17)/2*inp_sal_sm/12*(1+inp_merit)^(AI$5-1)</f>
        <v/>
      </c>
      <c r="AJ18" s="36">
        <f>(AJ15+AJ17)/2*inp_sal_sm/12*(1+inp_merit)^(AJ$5-1)</f>
        <v/>
      </c>
      <c r="AK18" s="36">
        <f>(AK15+AK17)/2*inp_sal_sm/12*(1+inp_merit)^(AK$5-1)</f>
        <v/>
      </c>
      <c r="AL18" s="36">
        <f>(AL15+AL17)/2*inp_sal_sm/12*(1+inp_merit)^(AL$5-1)</f>
        <v/>
      </c>
      <c r="AN18" s="36">
        <f>SUMIF($O$5:$AL$5,AN$5,$O18:$AL18)</f>
        <v/>
      </c>
      <c r="AO18" s="36">
        <f>SUMIF($O$5:$AL$5,AO$5,$O18:$AL18)</f>
        <v/>
      </c>
    </row>
    <row r="20">
      <c r="A20" s="13" t="inlineStr">
        <is>
          <t>Headcount - G&amp;A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5" t="inlineStr">
        <is>
          <t>Opening FTE</t>
        </is>
      </c>
      <c r="B21" s="2" t="inlineStr">
        <is>
          <t>FTE</t>
        </is>
      </c>
      <c r="O21" s="34">
        <f>N23</f>
        <v/>
      </c>
      <c r="P21" s="34">
        <f>O23</f>
        <v/>
      </c>
      <c r="Q21" s="34">
        <f>P23</f>
        <v/>
      </c>
      <c r="R21" s="34">
        <f>Q23</f>
        <v/>
      </c>
      <c r="S21" s="34">
        <f>R23</f>
        <v/>
      </c>
      <c r="T21" s="34">
        <f>S23</f>
        <v/>
      </c>
      <c r="U21" s="34">
        <f>T23</f>
        <v/>
      </c>
      <c r="V21" s="34">
        <f>U23</f>
        <v/>
      </c>
      <c r="W21" s="34">
        <f>V23</f>
        <v/>
      </c>
      <c r="X21" s="34">
        <f>W23</f>
        <v/>
      </c>
      <c r="Y21" s="34">
        <f>X23</f>
        <v/>
      </c>
      <c r="Z21" s="34">
        <f>Y23</f>
        <v/>
      </c>
      <c r="AA21" s="34">
        <f>Z23</f>
        <v/>
      </c>
      <c r="AB21" s="34">
        <f>AA23</f>
        <v/>
      </c>
      <c r="AC21" s="34">
        <f>AB23</f>
        <v/>
      </c>
      <c r="AD21" s="34">
        <f>AC23</f>
        <v/>
      </c>
      <c r="AE21" s="34">
        <f>AD23</f>
        <v/>
      </c>
      <c r="AF21" s="34">
        <f>AE23</f>
        <v/>
      </c>
      <c r="AG21" s="34">
        <f>AF23</f>
        <v/>
      </c>
      <c r="AH21" s="34">
        <f>AG23</f>
        <v/>
      </c>
      <c r="AI21" s="34">
        <f>AH23</f>
        <v/>
      </c>
      <c r="AJ21" s="34">
        <f>AI23</f>
        <v/>
      </c>
      <c r="AK21" s="34">
        <f>AJ23</f>
        <v/>
      </c>
      <c r="AL21" s="34">
        <f>AK23</f>
        <v/>
      </c>
      <c r="AN21" s="34">
        <f>INDEX($O21:$AL21,1,(AN$5-1)*12+1)</f>
        <v/>
      </c>
      <c r="AO21" s="34">
        <f>INDEX($O21:$AL21,1,(AO$5-1)*12+1)</f>
        <v/>
      </c>
    </row>
    <row r="22">
      <c r="A22" s="5" t="inlineStr">
        <is>
          <t>+ Net hires</t>
        </is>
      </c>
      <c r="B22" s="2" t="inlineStr">
        <is>
          <t>FTE</t>
        </is>
      </c>
      <c r="O22" s="34">
        <f>inp_hires_ga</f>
        <v/>
      </c>
      <c r="P22" s="34">
        <f>inp_hires_ga</f>
        <v/>
      </c>
      <c r="Q22" s="34">
        <f>inp_hires_ga</f>
        <v/>
      </c>
      <c r="R22" s="34">
        <f>inp_hires_ga</f>
        <v/>
      </c>
      <c r="S22" s="34">
        <f>inp_hires_ga</f>
        <v/>
      </c>
      <c r="T22" s="34">
        <f>inp_hires_ga</f>
        <v/>
      </c>
      <c r="U22" s="34">
        <f>inp_hires_ga</f>
        <v/>
      </c>
      <c r="V22" s="34">
        <f>inp_hires_ga</f>
        <v/>
      </c>
      <c r="W22" s="34">
        <f>inp_hires_ga</f>
        <v/>
      </c>
      <c r="X22" s="34">
        <f>inp_hires_ga</f>
        <v/>
      </c>
      <c r="Y22" s="34">
        <f>inp_hires_ga</f>
        <v/>
      </c>
      <c r="Z22" s="34">
        <f>inp_hires_ga</f>
        <v/>
      </c>
      <c r="AA22" s="34">
        <f>inp_hires_ga</f>
        <v/>
      </c>
      <c r="AB22" s="34">
        <f>inp_hires_ga</f>
        <v/>
      </c>
      <c r="AC22" s="34">
        <f>inp_hires_ga</f>
        <v/>
      </c>
      <c r="AD22" s="34">
        <f>inp_hires_ga</f>
        <v/>
      </c>
      <c r="AE22" s="34">
        <f>inp_hires_ga</f>
        <v/>
      </c>
      <c r="AF22" s="34">
        <f>inp_hires_ga</f>
        <v/>
      </c>
      <c r="AG22" s="34">
        <f>inp_hires_ga</f>
        <v/>
      </c>
      <c r="AH22" s="34">
        <f>inp_hires_ga</f>
        <v/>
      </c>
      <c r="AI22" s="34">
        <f>inp_hires_ga</f>
        <v/>
      </c>
      <c r="AJ22" s="34">
        <f>inp_hires_ga</f>
        <v/>
      </c>
      <c r="AK22" s="34">
        <f>inp_hires_ga</f>
        <v/>
      </c>
      <c r="AL22" s="34">
        <f>inp_hires_ga</f>
        <v/>
      </c>
      <c r="AN22" s="34">
        <f>SUMIF($O$5:$AL$5,AN$5,$O22:$AL22)</f>
        <v/>
      </c>
      <c r="AO22" s="34">
        <f>SUMIF($O$5:$AL$5,AO$5,$O22:$AL22)</f>
        <v/>
      </c>
    </row>
    <row r="23">
      <c r="A23" s="37" t="inlineStr">
        <is>
          <t>Closing FTE</t>
        </is>
      </c>
      <c r="B23" s="38" t="inlineStr">
        <is>
          <t>FTE</t>
        </is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41">
        <f>inp_heads_open_ga</f>
        <v/>
      </c>
      <c r="O23" s="41">
        <f>O21+O22</f>
        <v/>
      </c>
      <c r="P23" s="41">
        <f>P21+P22</f>
        <v/>
      </c>
      <c r="Q23" s="41">
        <f>Q21+Q22</f>
        <v/>
      </c>
      <c r="R23" s="41">
        <f>R21+R22</f>
        <v/>
      </c>
      <c r="S23" s="41">
        <f>S21+S22</f>
        <v/>
      </c>
      <c r="T23" s="41">
        <f>T21+T22</f>
        <v/>
      </c>
      <c r="U23" s="41">
        <f>U21+U22</f>
        <v/>
      </c>
      <c r="V23" s="41">
        <f>V21+V22</f>
        <v/>
      </c>
      <c r="W23" s="41">
        <f>W21+W22</f>
        <v/>
      </c>
      <c r="X23" s="41">
        <f>X21+X22</f>
        <v/>
      </c>
      <c r="Y23" s="41">
        <f>Y21+Y22</f>
        <v/>
      </c>
      <c r="Z23" s="41">
        <f>Z21+Z22</f>
        <v/>
      </c>
      <c r="AA23" s="41">
        <f>AA21+AA22</f>
        <v/>
      </c>
      <c r="AB23" s="41">
        <f>AB21+AB22</f>
        <v/>
      </c>
      <c r="AC23" s="41">
        <f>AC21+AC22</f>
        <v/>
      </c>
      <c r="AD23" s="41">
        <f>AD21+AD22</f>
        <v/>
      </c>
      <c r="AE23" s="41">
        <f>AE21+AE22</f>
        <v/>
      </c>
      <c r="AF23" s="41">
        <f>AF21+AF22</f>
        <v/>
      </c>
      <c r="AG23" s="41">
        <f>AG21+AG22</f>
        <v/>
      </c>
      <c r="AH23" s="41">
        <f>AH21+AH22</f>
        <v/>
      </c>
      <c r="AI23" s="41">
        <f>AI21+AI22</f>
        <v/>
      </c>
      <c r="AJ23" s="41">
        <f>AJ21+AJ22</f>
        <v/>
      </c>
      <c r="AK23" s="41">
        <f>AK21+AK22</f>
        <v/>
      </c>
      <c r="AL23" s="41">
        <f>AL21+AL22</f>
        <v/>
      </c>
      <c r="AM23" s="39" t="n"/>
      <c r="AN23" s="41">
        <f>INDEX($O23:$AL23,1,AN$5*12)</f>
        <v/>
      </c>
      <c r="AO23" s="41">
        <f>INDEX($O23:$AL23,1,AO$5*12)</f>
        <v/>
      </c>
    </row>
    <row r="24">
      <c r="A24" s="5" t="inlineStr">
        <is>
          <t>Payroll cost (average FTE x loaded cost / 12 x pay-rise factor)</t>
        </is>
      </c>
      <c r="B24" s="2" t="inlineStr">
        <is>
          <t>GBP k</t>
        </is>
      </c>
      <c r="O24" s="36">
        <f>(O21+O23)/2*inp_sal_ga/12*(1+inp_merit)^(O$5-1)</f>
        <v/>
      </c>
      <c r="P24" s="36">
        <f>(P21+P23)/2*inp_sal_ga/12*(1+inp_merit)^(P$5-1)</f>
        <v/>
      </c>
      <c r="Q24" s="36">
        <f>(Q21+Q23)/2*inp_sal_ga/12*(1+inp_merit)^(Q$5-1)</f>
        <v/>
      </c>
      <c r="R24" s="36">
        <f>(R21+R23)/2*inp_sal_ga/12*(1+inp_merit)^(R$5-1)</f>
        <v/>
      </c>
      <c r="S24" s="36">
        <f>(S21+S23)/2*inp_sal_ga/12*(1+inp_merit)^(S$5-1)</f>
        <v/>
      </c>
      <c r="T24" s="36">
        <f>(T21+T23)/2*inp_sal_ga/12*(1+inp_merit)^(T$5-1)</f>
        <v/>
      </c>
      <c r="U24" s="36">
        <f>(U21+U23)/2*inp_sal_ga/12*(1+inp_merit)^(U$5-1)</f>
        <v/>
      </c>
      <c r="V24" s="36">
        <f>(V21+V23)/2*inp_sal_ga/12*(1+inp_merit)^(V$5-1)</f>
        <v/>
      </c>
      <c r="W24" s="36">
        <f>(W21+W23)/2*inp_sal_ga/12*(1+inp_merit)^(W$5-1)</f>
        <v/>
      </c>
      <c r="X24" s="36">
        <f>(X21+X23)/2*inp_sal_ga/12*(1+inp_merit)^(X$5-1)</f>
        <v/>
      </c>
      <c r="Y24" s="36">
        <f>(Y21+Y23)/2*inp_sal_ga/12*(1+inp_merit)^(Y$5-1)</f>
        <v/>
      </c>
      <c r="Z24" s="36">
        <f>(Z21+Z23)/2*inp_sal_ga/12*(1+inp_merit)^(Z$5-1)</f>
        <v/>
      </c>
      <c r="AA24" s="36">
        <f>(AA21+AA23)/2*inp_sal_ga/12*(1+inp_merit)^(AA$5-1)</f>
        <v/>
      </c>
      <c r="AB24" s="36">
        <f>(AB21+AB23)/2*inp_sal_ga/12*(1+inp_merit)^(AB$5-1)</f>
        <v/>
      </c>
      <c r="AC24" s="36">
        <f>(AC21+AC23)/2*inp_sal_ga/12*(1+inp_merit)^(AC$5-1)</f>
        <v/>
      </c>
      <c r="AD24" s="36">
        <f>(AD21+AD23)/2*inp_sal_ga/12*(1+inp_merit)^(AD$5-1)</f>
        <v/>
      </c>
      <c r="AE24" s="36">
        <f>(AE21+AE23)/2*inp_sal_ga/12*(1+inp_merit)^(AE$5-1)</f>
        <v/>
      </c>
      <c r="AF24" s="36">
        <f>(AF21+AF23)/2*inp_sal_ga/12*(1+inp_merit)^(AF$5-1)</f>
        <v/>
      </c>
      <c r="AG24" s="36">
        <f>(AG21+AG23)/2*inp_sal_ga/12*(1+inp_merit)^(AG$5-1)</f>
        <v/>
      </c>
      <c r="AH24" s="36">
        <f>(AH21+AH23)/2*inp_sal_ga/12*(1+inp_merit)^(AH$5-1)</f>
        <v/>
      </c>
      <c r="AI24" s="36">
        <f>(AI21+AI23)/2*inp_sal_ga/12*(1+inp_merit)^(AI$5-1)</f>
        <v/>
      </c>
      <c r="AJ24" s="36">
        <f>(AJ21+AJ23)/2*inp_sal_ga/12*(1+inp_merit)^(AJ$5-1)</f>
        <v/>
      </c>
      <c r="AK24" s="36">
        <f>(AK21+AK23)/2*inp_sal_ga/12*(1+inp_merit)^(AK$5-1)</f>
        <v/>
      </c>
      <c r="AL24" s="36">
        <f>(AL21+AL23)/2*inp_sal_ga/12*(1+inp_merit)^(AL$5-1)</f>
        <v/>
      </c>
      <c r="AN24" s="36">
        <f>SUMIF($O$5:$AL$5,AN$5,$O24:$AL24)</f>
        <v/>
      </c>
      <c r="AO24" s="36">
        <f>SUMIF($O$5:$AL$5,AO$5,$O24:$AL24)</f>
        <v/>
      </c>
    </row>
    <row r="26">
      <c r="A26" s="13" t="inlineStr">
        <is>
          <t>Headcount - Customer Success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5" t="inlineStr">
        <is>
          <t>Opening FTE</t>
        </is>
      </c>
      <c r="B27" s="2" t="inlineStr">
        <is>
          <t>FTE</t>
        </is>
      </c>
      <c r="O27" s="34">
        <f>N29</f>
        <v/>
      </c>
      <c r="P27" s="34">
        <f>O29</f>
        <v/>
      </c>
      <c r="Q27" s="34">
        <f>P29</f>
        <v/>
      </c>
      <c r="R27" s="34">
        <f>Q29</f>
        <v/>
      </c>
      <c r="S27" s="34">
        <f>R29</f>
        <v/>
      </c>
      <c r="T27" s="34">
        <f>S29</f>
        <v/>
      </c>
      <c r="U27" s="34">
        <f>T29</f>
        <v/>
      </c>
      <c r="V27" s="34">
        <f>U29</f>
        <v/>
      </c>
      <c r="W27" s="34">
        <f>V29</f>
        <v/>
      </c>
      <c r="X27" s="34">
        <f>W29</f>
        <v/>
      </c>
      <c r="Y27" s="34">
        <f>X29</f>
        <v/>
      </c>
      <c r="Z27" s="34">
        <f>Y29</f>
        <v/>
      </c>
      <c r="AA27" s="34">
        <f>Z29</f>
        <v/>
      </c>
      <c r="AB27" s="34">
        <f>AA29</f>
        <v/>
      </c>
      <c r="AC27" s="34">
        <f>AB29</f>
        <v/>
      </c>
      <c r="AD27" s="34">
        <f>AC29</f>
        <v/>
      </c>
      <c r="AE27" s="34">
        <f>AD29</f>
        <v/>
      </c>
      <c r="AF27" s="34">
        <f>AE29</f>
        <v/>
      </c>
      <c r="AG27" s="34">
        <f>AF29</f>
        <v/>
      </c>
      <c r="AH27" s="34">
        <f>AG29</f>
        <v/>
      </c>
      <c r="AI27" s="34">
        <f>AH29</f>
        <v/>
      </c>
      <c r="AJ27" s="34">
        <f>AI29</f>
        <v/>
      </c>
      <c r="AK27" s="34">
        <f>AJ29</f>
        <v/>
      </c>
      <c r="AL27" s="34">
        <f>AK29</f>
        <v/>
      </c>
      <c r="AN27" s="34">
        <f>INDEX($O27:$AL27,1,(AN$5-1)*12+1)</f>
        <v/>
      </c>
      <c r="AO27" s="34">
        <f>INDEX($O27:$AL27,1,(AO$5-1)*12+1)</f>
        <v/>
      </c>
    </row>
    <row r="28">
      <c r="A28" s="5" t="inlineStr">
        <is>
          <t>+ Net hires</t>
        </is>
      </c>
      <c r="B28" s="2" t="inlineStr">
        <is>
          <t>FTE</t>
        </is>
      </c>
      <c r="O28" s="34">
        <f>inp_hires_cs</f>
        <v/>
      </c>
      <c r="P28" s="34">
        <f>inp_hires_cs</f>
        <v/>
      </c>
      <c r="Q28" s="34">
        <f>inp_hires_cs</f>
        <v/>
      </c>
      <c r="R28" s="34">
        <f>inp_hires_cs</f>
        <v/>
      </c>
      <c r="S28" s="34">
        <f>inp_hires_cs</f>
        <v/>
      </c>
      <c r="T28" s="34">
        <f>inp_hires_cs</f>
        <v/>
      </c>
      <c r="U28" s="34">
        <f>inp_hires_cs</f>
        <v/>
      </c>
      <c r="V28" s="34">
        <f>inp_hires_cs</f>
        <v/>
      </c>
      <c r="W28" s="34">
        <f>inp_hires_cs</f>
        <v/>
      </c>
      <c r="X28" s="34">
        <f>inp_hires_cs</f>
        <v/>
      </c>
      <c r="Y28" s="34">
        <f>inp_hires_cs</f>
        <v/>
      </c>
      <c r="Z28" s="34">
        <f>inp_hires_cs</f>
        <v/>
      </c>
      <c r="AA28" s="34">
        <f>inp_hires_cs</f>
        <v/>
      </c>
      <c r="AB28" s="34">
        <f>inp_hires_cs</f>
        <v/>
      </c>
      <c r="AC28" s="34">
        <f>inp_hires_cs</f>
        <v/>
      </c>
      <c r="AD28" s="34">
        <f>inp_hires_cs</f>
        <v/>
      </c>
      <c r="AE28" s="34">
        <f>inp_hires_cs</f>
        <v/>
      </c>
      <c r="AF28" s="34">
        <f>inp_hires_cs</f>
        <v/>
      </c>
      <c r="AG28" s="34">
        <f>inp_hires_cs</f>
        <v/>
      </c>
      <c r="AH28" s="34">
        <f>inp_hires_cs</f>
        <v/>
      </c>
      <c r="AI28" s="34">
        <f>inp_hires_cs</f>
        <v/>
      </c>
      <c r="AJ28" s="34">
        <f>inp_hires_cs</f>
        <v/>
      </c>
      <c r="AK28" s="34">
        <f>inp_hires_cs</f>
        <v/>
      </c>
      <c r="AL28" s="34">
        <f>inp_hires_cs</f>
        <v/>
      </c>
      <c r="AN28" s="34">
        <f>SUMIF($O$5:$AL$5,AN$5,$O28:$AL28)</f>
        <v/>
      </c>
      <c r="AO28" s="34">
        <f>SUMIF($O$5:$AL$5,AO$5,$O28:$AL28)</f>
        <v/>
      </c>
    </row>
    <row r="29">
      <c r="A29" s="37" t="inlineStr">
        <is>
          <t>Closing FTE</t>
        </is>
      </c>
      <c r="B29" s="38" t="inlineStr">
        <is>
          <t>FTE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1">
        <f>inp_heads_open_cs</f>
        <v/>
      </c>
      <c r="O29" s="41">
        <f>O27+O28</f>
        <v/>
      </c>
      <c r="P29" s="41">
        <f>P27+P28</f>
        <v/>
      </c>
      <c r="Q29" s="41">
        <f>Q27+Q28</f>
        <v/>
      </c>
      <c r="R29" s="41">
        <f>R27+R28</f>
        <v/>
      </c>
      <c r="S29" s="41">
        <f>S27+S28</f>
        <v/>
      </c>
      <c r="T29" s="41">
        <f>T27+T28</f>
        <v/>
      </c>
      <c r="U29" s="41">
        <f>U27+U28</f>
        <v/>
      </c>
      <c r="V29" s="41">
        <f>V27+V28</f>
        <v/>
      </c>
      <c r="W29" s="41">
        <f>W27+W28</f>
        <v/>
      </c>
      <c r="X29" s="41">
        <f>X27+X28</f>
        <v/>
      </c>
      <c r="Y29" s="41">
        <f>Y27+Y28</f>
        <v/>
      </c>
      <c r="Z29" s="41">
        <f>Z27+Z28</f>
        <v/>
      </c>
      <c r="AA29" s="41">
        <f>AA27+AA28</f>
        <v/>
      </c>
      <c r="AB29" s="41">
        <f>AB27+AB28</f>
        <v/>
      </c>
      <c r="AC29" s="41">
        <f>AC27+AC28</f>
        <v/>
      </c>
      <c r="AD29" s="41">
        <f>AD27+AD28</f>
        <v/>
      </c>
      <c r="AE29" s="41">
        <f>AE27+AE28</f>
        <v/>
      </c>
      <c r="AF29" s="41">
        <f>AF27+AF28</f>
        <v/>
      </c>
      <c r="AG29" s="41">
        <f>AG27+AG28</f>
        <v/>
      </c>
      <c r="AH29" s="41">
        <f>AH27+AH28</f>
        <v/>
      </c>
      <c r="AI29" s="41">
        <f>AI27+AI28</f>
        <v/>
      </c>
      <c r="AJ29" s="41">
        <f>AJ27+AJ28</f>
        <v/>
      </c>
      <c r="AK29" s="41">
        <f>AK27+AK28</f>
        <v/>
      </c>
      <c r="AL29" s="41">
        <f>AL27+AL28</f>
        <v/>
      </c>
      <c r="AM29" s="39" t="n"/>
      <c r="AN29" s="41">
        <f>INDEX($O29:$AL29,1,AN$5*12)</f>
        <v/>
      </c>
      <c r="AO29" s="41">
        <f>INDEX($O29:$AL29,1,AO$5*12)</f>
        <v/>
      </c>
    </row>
    <row r="30">
      <c r="A30" s="5" t="inlineStr">
        <is>
          <t>Payroll cost (average FTE x loaded cost / 12 x pay-rise factor)</t>
        </is>
      </c>
      <c r="B30" s="2" t="inlineStr">
        <is>
          <t>GBP k</t>
        </is>
      </c>
      <c r="O30" s="36">
        <f>(O27+O29)/2*inp_sal_cs/12*(1+inp_merit)^(O$5-1)</f>
        <v/>
      </c>
      <c r="P30" s="36">
        <f>(P27+P29)/2*inp_sal_cs/12*(1+inp_merit)^(P$5-1)</f>
        <v/>
      </c>
      <c r="Q30" s="36">
        <f>(Q27+Q29)/2*inp_sal_cs/12*(1+inp_merit)^(Q$5-1)</f>
        <v/>
      </c>
      <c r="R30" s="36">
        <f>(R27+R29)/2*inp_sal_cs/12*(1+inp_merit)^(R$5-1)</f>
        <v/>
      </c>
      <c r="S30" s="36">
        <f>(S27+S29)/2*inp_sal_cs/12*(1+inp_merit)^(S$5-1)</f>
        <v/>
      </c>
      <c r="T30" s="36">
        <f>(T27+T29)/2*inp_sal_cs/12*(1+inp_merit)^(T$5-1)</f>
        <v/>
      </c>
      <c r="U30" s="36">
        <f>(U27+U29)/2*inp_sal_cs/12*(1+inp_merit)^(U$5-1)</f>
        <v/>
      </c>
      <c r="V30" s="36">
        <f>(V27+V29)/2*inp_sal_cs/12*(1+inp_merit)^(V$5-1)</f>
        <v/>
      </c>
      <c r="W30" s="36">
        <f>(W27+W29)/2*inp_sal_cs/12*(1+inp_merit)^(W$5-1)</f>
        <v/>
      </c>
      <c r="X30" s="36">
        <f>(X27+X29)/2*inp_sal_cs/12*(1+inp_merit)^(X$5-1)</f>
        <v/>
      </c>
      <c r="Y30" s="36">
        <f>(Y27+Y29)/2*inp_sal_cs/12*(1+inp_merit)^(Y$5-1)</f>
        <v/>
      </c>
      <c r="Z30" s="36">
        <f>(Z27+Z29)/2*inp_sal_cs/12*(1+inp_merit)^(Z$5-1)</f>
        <v/>
      </c>
      <c r="AA30" s="36">
        <f>(AA27+AA29)/2*inp_sal_cs/12*(1+inp_merit)^(AA$5-1)</f>
        <v/>
      </c>
      <c r="AB30" s="36">
        <f>(AB27+AB29)/2*inp_sal_cs/12*(1+inp_merit)^(AB$5-1)</f>
        <v/>
      </c>
      <c r="AC30" s="36">
        <f>(AC27+AC29)/2*inp_sal_cs/12*(1+inp_merit)^(AC$5-1)</f>
        <v/>
      </c>
      <c r="AD30" s="36">
        <f>(AD27+AD29)/2*inp_sal_cs/12*(1+inp_merit)^(AD$5-1)</f>
        <v/>
      </c>
      <c r="AE30" s="36">
        <f>(AE27+AE29)/2*inp_sal_cs/12*(1+inp_merit)^(AE$5-1)</f>
        <v/>
      </c>
      <c r="AF30" s="36">
        <f>(AF27+AF29)/2*inp_sal_cs/12*(1+inp_merit)^(AF$5-1)</f>
        <v/>
      </c>
      <c r="AG30" s="36">
        <f>(AG27+AG29)/2*inp_sal_cs/12*(1+inp_merit)^(AG$5-1)</f>
        <v/>
      </c>
      <c r="AH30" s="36">
        <f>(AH27+AH29)/2*inp_sal_cs/12*(1+inp_merit)^(AH$5-1)</f>
        <v/>
      </c>
      <c r="AI30" s="36">
        <f>(AI27+AI29)/2*inp_sal_cs/12*(1+inp_merit)^(AI$5-1)</f>
        <v/>
      </c>
      <c r="AJ30" s="36">
        <f>(AJ27+AJ29)/2*inp_sal_cs/12*(1+inp_merit)^(AJ$5-1)</f>
        <v/>
      </c>
      <c r="AK30" s="36">
        <f>(AK27+AK29)/2*inp_sal_cs/12*(1+inp_merit)^(AK$5-1)</f>
        <v/>
      </c>
      <c r="AL30" s="36">
        <f>(AL27+AL29)/2*inp_sal_cs/12*(1+inp_merit)^(AL$5-1)</f>
        <v/>
      </c>
      <c r="AN30" s="36">
        <f>SUMIF($O$5:$AL$5,AN$5,$O30:$AL30)</f>
        <v/>
      </c>
      <c r="AO30" s="36">
        <f>SUMIF($O$5:$AL$5,AO$5,$O30:$AL30)</f>
        <v/>
      </c>
    </row>
    <row r="32">
      <c r="A32" s="13" t="inlineStr">
        <is>
          <t>Totals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3" t="inlineStr">
        <is>
          <t>Total closing FTE</t>
        </is>
      </c>
      <c r="B33" s="2" t="inlineStr">
        <is>
          <t>FTE</t>
        </is>
      </c>
      <c r="N33" s="43">
        <f>N11+N17+N23+N29</f>
        <v/>
      </c>
      <c r="O33" s="43">
        <f>O11+O17+O23+O29</f>
        <v/>
      </c>
      <c r="P33" s="43">
        <f>P11+P17+P23+P29</f>
        <v/>
      </c>
      <c r="Q33" s="43">
        <f>Q11+Q17+Q23+Q29</f>
        <v/>
      </c>
      <c r="R33" s="43">
        <f>R11+R17+R23+R29</f>
        <v/>
      </c>
      <c r="S33" s="43">
        <f>S11+S17+S23+S29</f>
        <v/>
      </c>
      <c r="T33" s="43">
        <f>T11+T17+T23+T29</f>
        <v/>
      </c>
      <c r="U33" s="43">
        <f>U11+U17+U23+U29</f>
        <v/>
      </c>
      <c r="V33" s="43">
        <f>V11+V17+V23+V29</f>
        <v/>
      </c>
      <c r="W33" s="43">
        <f>W11+W17+W23+W29</f>
        <v/>
      </c>
      <c r="X33" s="43">
        <f>X11+X17+X23+X29</f>
        <v/>
      </c>
      <c r="Y33" s="43">
        <f>Y11+Y17+Y23+Y29</f>
        <v/>
      </c>
      <c r="Z33" s="43">
        <f>Z11+Z17+Z23+Z29</f>
        <v/>
      </c>
      <c r="AA33" s="43">
        <f>AA11+AA17+AA23+AA29</f>
        <v/>
      </c>
      <c r="AB33" s="43">
        <f>AB11+AB17+AB23+AB29</f>
        <v/>
      </c>
      <c r="AC33" s="43">
        <f>AC11+AC17+AC23+AC29</f>
        <v/>
      </c>
      <c r="AD33" s="43">
        <f>AD11+AD17+AD23+AD29</f>
        <v/>
      </c>
      <c r="AE33" s="43">
        <f>AE11+AE17+AE23+AE29</f>
        <v/>
      </c>
      <c r="AF33" s="43">
        <f>AF11+AF17+AF23+AF29</f>
        <v/>
      </c>
      <c r="AG33" s="43">
        <f>AG11+AG17+AG23+AG29</f>
        <v/>
      </c>
      <c r="AH33" s="43">
        <f>AH11+AH17+AH23+AH29</f>
        <v/>
      </c>
      <c r="AI33" s="43">
        <f>AI11+AI17+AI23+AI29</f>
        <v/>
      </c>
      <c r="AJ33" s="43">
        <f>AJ11+AJ17+AJ23+AJ29</f>
        <v/>
      </c>
      <c r="AK33" s="43">
        <f>AK11+AK17+AK23+AK29</f>
        <v/>
      </c>
      <c r="AL33" s="43">
        <f>AL11+AL17+AL23+AL29</f>
        <v/>
      </c>
      <c r="AN33" s="43">
        <f>INDEX($O33:$AL33,1,AN$5*12)</f>
        <v/>
      </c>
      <c r="AO33" s="43">
        <f>INDEX($O33:$AL33,1,AO$5*12)</f>
        <v/>
      </c>
    </row>
    <row r="34">
      <c r="A34" s="3" t="inlineStr">
        <is>
          <t>Total payroll</t>
        </is>
      </c>
      <c r="B34" s="2" t="inlineStr">
        <is>
          <t>GBP k</t>
        </is>
      </c>
      <c r="O34" s="42">
        <f>O12+O18+O24+O30</f>
        <v/>
      </c>
      <c r="P34" s="42">
        <f>P12+P18+P24+P30</f>
        <v/>
      </c>
      <c r="Q34" s="42">
        <f>Q12+Q18+Q24+Q30</f>
        <v/>
      </c>
      <c r="R34" s="42">
        <f>R12+R18+R24+R30</f>
        <v/>
      </c>
      <c r="S34" s="42">
        <f>S12+S18+S24+S30</f>
        <v/>
      </c>
      <c r="T34" s="42">
        <f>T12+T18+T24+T30</f>
        <v/>
      </c>
      <c r="U34" s="42">
        <f>U12+U18+U24+U30</f>
        <v/>
      </c>
      <c r="V34" s="42">
        <f>V12+V18+V24+V30</f>
        <v/>
      </c>
      <c r="W34" s="42">
        <f>W12+W18+W24+W30</f>
        <v/>
      </c>
      <c r="X34" s="42">
        <f>X12+X18+X24+X30</f>
        <v/>
      </c>
      <c r="Y34" s="42">
        <f>Y12+Y18+Y24+Y30</f>
        <v/>
      </c>
      <c r="Z34" s="42">
        <f>Z12+Z18+Z24+Z30</f>
        <v/>
      </c>
      <c r="AA34" s="42">
        <f>AA12+AA18+AA24+AA30</f>
        <v/>
      </c>
      <c r="AB34" s="42">
        <f>AB12+AB18+AB24+AB30</f>
        <v/>
      </c>
      <c r="AC34" s="42">
        <f>AC12+AC18+AC24+AC30</f>
        <v/>
      </c>
      <c r="AD34" s="42">
        <f>AD12+AD18+AD24+AD30</f>
        <v/>
      </c>
      <c r="AE34" s="42">
        <f>AE12+AE18+AE24+AE30</f>
        <v/>
      </c>
      <c r="AF34" s="42">
        <f>AF12+AF18+AF24+AF30</f>
        <v/>
      </c>
      <c r="AG34" s="42">
        <f>AG12+AG18+AG24+AG30</f>
        <v/>
      </c>
      <c r="AH34" s="42">
        <f>AH12+AH18+AH24+AH30</f>
        <v/>
      </c>
      <c r="AI34" s="42">
        <f>AI12+AI18+AI24+AI30</f>
        <v/>
      </c>
      <c r="AJ34" s="42">
        <f>AJ12+AJ18+AJ24+AJ30</f>
        <v/>
      </c>
      <c r="AK34" s="42">
        <f>AK12+AK18+AK24+AK30</f>
        <v/>
      </c>
      <c r="AL34" s="42">
        <f>AL12+AL18+AL24+AL30</f>
        <v/>
      </c>
      <c r="AN34" s="42">
        <f>SUMIF($O$5:$AL$5,AN$5,$O34:$AL34)</f>
        <v/>
      </c>
      <c r="AO34" s="42">
        <f>SUMIF($O$5:$AL$5,AO$5,$O34:$AL34)</f>
        <v/>
      </c>
    </row>
    <row r="36">
      <c r="A36" s="13" t="inlineStr">
        <is>
          <t>Non-headcount opex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5" t="inlineStr">
        <is>
          <t>Marketing programmes</t>
        </is>
      </c>
      <c r="B37" s="2" t="inlineStr">
        <is>
          <t>GBP k</t>
        </is>
      </c>
      <c r="O37" s="36">
        <f>inp_marketing_m</f>
        <v/>
      </c>
      <c r="P37" s="36">
        <f>inp_marketing_m</f>
        <v/>
      </c>
      <c r="Q37" s="36">
        <f>inp_marketing_m</f>
        <v/>
      </c>
      <c r="R37" s="36">
        <f>inp_marketing_m</f>
        <v/>
      </c>
      <c r="S37" s="36">
        <f>inp_marketing_m</f>
        <v/>
      </c>
      <c r="T37" s="36">
        <f>inp_marketing_m</f>
        <v/>
      </c>
      <c r="U37" s="36">
        <f>inp_marketing_m</f>
        <v/>
      </c>
      <c r="V37" s="36">
        <f>inp_marketing_m</f>
        <v/>
      </c>
      <c r="W37" s="36">
        <f>inp_marketing_m</f>
        <v/>
      </c>
      <c r="X37" s="36">
        <f>inp_marketing_m</f>
        <v/>
      </c>
      <c r="Y37" s="36">
        <f>inp_marketing_m</f>
        <v/>
      </c>
      <c r="Z37" s="36">
        <f>inp_marketing_m</f>
        <v/>
      </c>
      <c r="AA37" s="36">
        <f>inp_marketing_m</f>
        <v/>
      </c>
      <c r="AB37" s="36">
        <f>inp_marketing_m</f>
        <v/>
      </c>
      <c r="AC37" s="36">
        <f>inp_marketing_m</f>
        <v/>
      </c>
      <c r="AD37" s="36">
        <f>inp_marketing_m</f>
        <v/>
      </c>
      <c r="AE37" s="36">
        <f>inp_marketing_m</f>
        <v/>
      </c>
      <c r="AF37" s="36">
        <f>inp_marketing_m</f>
        <v/>
      </c>
      <c r="AG37" s="36">
        <f>inp_marketing_m</f>
        <v/>
      </c>
      <c r="AH37" s="36">
        <f>inp_marketing_m</f>
        <v/>
      </c>
      <c r="AI37" s="36">
        <f>inp_marketing_m</f>
        <v/>
      </c>
      <c r="AJ37" s="36">
        <f>inp_marketing_m</f>
        <v/>
      </c>
      <c r="AK37" s="36">
        <f>inp_marketing_m</f>
        <v/>
      </c>
      <c r="AL37" s="36">
        <f>inp_marketing_m</f>
        <v/>
      </c>
      <c r="AN37" s="36">
        <f>SUMIF($O$5:$AL$5,AN$5,$O37:$AL37)</f>
        <v/>
      </c>
      <c r="AO37" s="36">
        <f>SUMIF($O$5:$AL$5,AO$5,$O37:$AL37)</f>
        <v/>
      </c>
    </row>
    <row r="38">
      <c r="A38" s="5" t="inlineStr">
        <is>
          <t>R&amp;D non-headcount</t>
        </is>
      </c>
      <c r="B38" s="2" t="inlineStr">
        <is>
          <t>GBP k</t>
        </is>
      </c>
      <c r="O38" s="36">
        <f>inp_rd_other_m</f>
        <v/>
      </c>
      <c r="P38" s="36">
        <f>inp_rd_other_m</f>
        <v/>
      </c>
      <c r="Q38" s="36">
        <f>inp_rd_other_m</f>
        <v/>
      </c>
      <c r="R38" s="36">
        <f>inp_rd_other_m</f>
        <v/>
      </c>
      <c r="S38" s="36">
        <f>inp_rd_other_m</f>
        <v/>
      </c>
      <c r="T38" s="36">
        <f>inp_rd_other_m</f>
        <v/>
      </c>
      <c r="U38" s="36">
        <f>inp_rd_other_m</f>
        <v/>
      </c>
      <c r="V38" s="36">
        <f>inp_rd_other_m</f>
        <v/>
      </c>
      <c r="W38" s="36">
        <f>inp_rd_other_m</f>
        <v/>
      </c>
      <c r="X38" s="36">
        <f>inp_rd_other_m</f>
        <v/>
      </c>
      <c r="Y38" s="36">
        <f>inp_rd_other_m</f>
        <v/>
      </c>
      <c r="Z38" s="36">
        <f>inp_rd_other_m</f>
        <v/>
      </c>
      <c r="AA38" s="36">
        <f>inp_rd_other_m</f>
        <v/>
      </c>
      <c r="AB38" s="36">
        <f>inp_rd_other_m</f>
        <v/>
      </c>
      <c r="AC38" s="36">
        <f>inp_rd_other_m</f>
        <v/>
      </c>
      <c r="AD38" s="36">
        <f>inp_rd_other_m</f>
        <v/>
      </c>
      <c r="AE38" s="36">
        <f>inp_rd_other_m</f>
        <v/>
      </c>
      <c r="AF38" s="36">
        <f>inp_rd_other_m</f>
        <v/>
      </c>
      <c r="AG38" s="36">
        <f>inp_rd_other_m</f>
        <v/>
      </c>
      <c r="AH38" s="36">
        <f>inp_rd_other_m</f>
        <v/>
      </c>
      <c r="AI38" s="36">
        <f>inp_rd_other_m</f>
        <v/>
      </c>
      <c r="AJ38" s="36">
        <f>inp_rd_other_m</f>
        <v/>
      </c>
      <c r="AK38" s="36">
        <f>inp_rd_other_m</f>
        <v/>
      </c>
      <c r="AL38" s="36">
        <f>inp_rd_other_m</f>
        <v/>
      </c>
      <c r="AN38" s="36">
        <f>SUMIF($O$5:$AL$5,AN$5,$O38:$AL38)</f>
        <v/>
      </c>
      <c r="AO38" s="36">
        <f>SUMIF($O$5:$AL$5,AO$5,$O38:$AL38)</f>
        <v/>
      </c>
    </row>
    <row r="39">
      <c r="A39" s="5" t="inlineStr">
        <is>
          <t>G&amp;A non-headcount</t>
        </is>
      </c>
      <c r="B39" s="2" t="inlineStr">
        <is>
          <t>GBP k</t>
        </is>
      </c>
      <c r="O39" s="36">
        <f>inp_ga_other_m</f>
        <v/>
      </c>
      <c r="P39" s="36">
        <f>inp_ga_other_m</f>
        <v/>
      </c>
      <c r="Q39" s="36">
        <f>inp_ga_other_m</f>
        <v/>
      </c>
      <c r="R39" s="36">
        <f>inp_ga_other_m</f>
        <v/>
      </c>
      <c r="S39" s="36">
        <f>inp_ga_other_m</f>
        <v/>
      </c>
      <c r="T39" s="36">
        <f>inp_ga_other_m</f>
        <v/>
      </c>
      <c r="U39" s="36">
        <f>inp_ga_other_m</f>
        <v/>
      </c>
      <c r="V39" s="36">
        <f>inp_ga_other_m</f>
        <v/>
      </c>
      <c r="W39" s="36">
        <f>inp_ga_other_m</f>
        <v/>
      </c>
      <c r="X39" s="36">
        <f>inp_ga_other_m</f>
        <v/>
      </c>
      <c r="Y39" s="36">
        <f>inp_ga_other_m</f>
        <v/>
      </c>
      <c r="Z39" s="36">
        <f>inp_ga_other_m</f>
        <v/>
      </c>
      <c r="AA39" s="36">
        <f>inp_ga_other_m</f>
        <v/>
      </c>
      <c r="AB39" s="36">
        <f>inp_ga_other_m</f>
        <v/>
      </c>
      <c r="AC39" s="36">
        <f>inp_ga_other_m</f>
        <v/>
      </c>
      <c r="AD39" s="36">
        <f>inp_ga_other_m</f>
        <v/>
      </c>
      <c r="AE39" s="36">
        <f>inp_ga_other_m</f>
        <v/>
      </c>
      <c r="AF39" s="36">
        <f>inp_ga_other_m</f>
        <v/>
      </c>
      <c r="AG39" s="36">
        <f>inp_ga_other_m</f>
        <v/>
      </c>
      <c r="AH39" s="36">
        <f>inp_ga_other_m</f>
        <v/>
      </c>
      <c r="AI39" s="36">
        <f>inp_ga_other_m</f>
        <v/>
      </c>
      <c r="AJ39" s="36">
        <f>inp_ga_other_m</f>
        <v/>
      </c>
      <c r="AK39" s="36">
        <f>inp_ga_other_m</f>
        <v/>
      </c>
      <c r="AL39" s="36">
        <f>inp_ga_other_m</f>
        <v/>
      </c>
      <c r="AN39" s="36">
        <f>SUMIF($O$5:$AL$5,AN$5,$O39:$AL39)</f>
        <v/>
      </c>
      <c r="AO39" s="36">
        <f>SUMIF($O$5:$AL$5,AO$5,$O39:$AL39)</f>
        <v/>
      </c>
    </row>
    <row r="40">
      <c r="A40" s="5" t="inlineStr">
        <is>
          <t>Sales commission earned (cash; accounting treatment on Contract_Costs)</t>
        </is>
      </c>
      <c r="B40" s="2" t="inlineStr">
        <is>
          <t>GBP k</t>
        </is>
      </c>
      <c r="O40" s="36">
        <f>inp_commission_pct*(Rev_Build!O44+Rev_Build!O45)</f>
        <v/>
      </c>
      <c r="P40" s="36">
        <f>inp_commission_pct*(Rev_Build!P44+Rev_Build!P45)</f>
        <v/>
      </c>
      <c r="Q40" s="36">
        <f>inp_commission_pct*(Rev_Build!Q44+Rev_Build!Q45)</f>
        <v/>
      </c>
      <c r="R40" s="36">
        <f>inp_commission_pct*(Rev_Build!R44+Rev_Build!R45)</f>
        <v/>
      </c>
      <c r="S40" s="36">
        <f>inp_commission_pct*(Rev_Build!S44+Rev_Build!S45)</f>
        <v/>
      </c>
      <c r="T40" s="36">
        <f>inp_commission_pct*(Rev_Build!T44+Rev_Build!T45)</f>
        <v/>
      </c>
      <c r="U40" s="36">
        <f>inp_commission_pct*(Rev_Build!U44+Rev_Build!U45)</f>
        <v/>
      </c>
      <c r="V40" s="36">
        <f>inp_commission_pct*(Rev_Build!V44+Rev_Build!V45)</f>
        <v/>
      </c>
      <c r="W40" s="36">
        <f>inp_commission_pct*(Rev_Build!W44+Rev_Build!W45)</f>
        <v/>
      </c>
      <c r="X40" s="36">
        <f>inp_commission_pct*(Rev_Build!X44+Rev_Build!X45)</f>
        <v/>
      </c>
      <c r="Y40" s="36">
        <f>inp_commission_pct*(Rev_Build!Y44+Rev_Build!Y45)</f>
        <v/>
      </c>
      <c r="Z40" s="36">
        <f>inp_commission_pct*(Rev_Build!Z44+Rev_Build!Z45)</f>
        <v/>
      </c>
      <c r="AA40" s="36">
        <f>inp_commission_pct*(Rev_Build!AA44+Rev_Build!AA45)</f>
        <v/>
      </c>
      <c r="AB40" s="36">
        <f>inp_commission_pct*(Rev_Build!AB44+Rev_Build!AB45)</f>
        <v/>
      </c>
      <c r="AC40" s="36">
        <f>inp_commission_pct*(Rev_Build!AC44+Rev_Build!AC45)</f>
        <v/>
      </c>
      <c r="AD40" s="36">
        <f>inp_commission_pct*(Rev_Build!AD44+Rev_Build!AD45)</f>
        <v/>
      </c>
      <c r="AE40" s="36">
        <f>inp_commission_pct*(Rev_Build!AE44+Rev_Build!AE45)</f>
        <v/>
      </c>
      <c r="AF40" s="36">
        <f>inp_commission_pct*(Rev_Build!AF44+Rev_Build!AF45)</f>
        <v/>
      </c>
      <c r="AG40" s="36">
        <f>inp_commission_pct*(Rev_Build!AG44+Rev_Build!AG45)</f>
        <v/>
      </c>
      <c r="AH40" s="36">
        <f>inp_commission_pct*(Rev_Build!AH44+Rev_Build!AH45)</f>
        <v/>
      </c>
      <c r="AI40" s="36">
        <f>inp_commission_pct*(Rev_Build!AI44+Rev_Build!AI45)</f>
        <v/>
      </c>
      <c r="AJ40" s="36">
        <f>inp_commission_pct*(Rev_Build!AJ44+Rev_Build!AJ45)</f>
        <v/>
      </c>
      <c r="AK40" s="36">
        <f>inp_commission_pct*(Rev_Build!AK44+Rev_Build!AK45)</f>
        <v/>
      </c>
      <c r="AL40" s="36">
        <f>inp_commission_pct*(Rev_Build!AL44+Rev_Build!AL45)</f>
        <v/>
      </c>
      <c r="AN40" s="36">
        <f>SUMIF($O$5:$AL$5,AN$5,$O40:$AL40)</f>
        <v/>
      </c>
      <c r="AO40" s="36">
        <f>SUMIF($O$5:$AL$5,AO$5,$O40:$AL40)</f>
        <v/>
      </c>
    </row>
    <row r="42">
      <c r="A42" s="13" t="inlineStr">
        <is>
          <t>Operating expense by function (Customer Success payroll sits in COGS)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5" t="inlineStr">
        <is>
          <t>R&amp;D</t>
        </is>
      </c>
      <c r="B43" s="2" t="inlineStr">
        <is>
          <t>GBP k</t>
        </is>
      </c>
      <c r="O43" s="36">
        <f>O12+O38</f>
        <v/>
      </c>
      <c r="P43" s="36">
        <f>P12+P38</f>
        <v/>
      </c>
      <c r="Q43" s="36">
        <f>Q12+Q38</f>
        <v/>
      </c>
      <c r="R43" s="36">
        <f>R12+R38</f>
        <v/>
      </c>
      <c r="S43" s="36">
        <f>S12+S38</f>
        <v/>
      </c>
      <c r="T43" s="36">
        <f>T12+T38</f>
        <v/>
      </c>
      <c r="U43" s="36">
        <f>U12+U38</f>
        <v/>
      </c>
      <c r="V43" s="36">
        <f>V12+V38</f>
        <v/>
      </c>
      <c r="W43" s="36">
        <f>W12+W38</f>
        <v/>
      </c>
      <c r="X43" s="36">
        <f>X12+X38</f>
        <v/>
      </c>
      <c r="Y43" s="36">
        <f>Y12+Y38</f>
        <v/>
      </c>
      <c r="Z43" s="36">
        <f>Z12+Z38</f>
        <v/>
      </c>
      <c r="AA43" s="36">
        <f>AA12+AA38</f>
        <v/>
      </c>
      <c r="AB43" s="36">
        <f>AB12+AB38</f>
        <v/>
      </c>
      <c r="AC43" s="36">
        <f>AC12+AC38</f>
        <v/>
      </c>
      <c r="AD43" s="36">
        <f>AD12+AD38</f>
        <v/>
      </c>
      <c r="AE43" s="36">
        <f>AE12+AE38</f>
        <v/>
      </c>
      <c r="AF43" s="36">
        <f>AF12+AF38</f>
        <v/>
      </c>
      <c r="AG43" s="36">
        <f>AG12+AG38</f>
        <v/>
      </c>
      <c r="AH43" s="36">
        <f>AH12+AH38</f>
        <v/>
      </c>
      <c r="AI43" s="36">
        <f>AI12+AI38</f>
        <v/>
      </c>
      <c r="AJ43" s="36">
        <f>AJ12+AJ38</f>
        <v/>
      </c>
      <c r="AK43" s="36">
        <f>AK12+AK38</f>
        <v/>
      </c>
      <c r="AL43" s="36">
        <f>AL12+AL38</f>
        <v/>
      </c>
      <c r="AN43" s="36">
        <f>SUMIF($O$5:$AL$5,AN$5,$O43:$AL43)</f>
        <v/>
      </c>
      <c r="AO43" s="36">
        <f>SUMIF($O$5:$AL$5,AO$5,$O43:$AL43)</f>
        <v/>
      </c>
    </row>
    <row r="44">
      <c r="A44" s="5" t="inlineStr">
        <is>
          <t>Sales &amp; Marketing</t>
        </is>
      </c>
      <c r="B44" s="2" t="inlineStr">
        <is>
          <t>GBP k</t>
        </is>
      </c>
      <c r="O44" s="36">
        <f>O18+O37+Contract_Costs!O20</f>
        <v/>
      </c>
      <c r="P44" s="36">
        <f>P18+P37+Contract_Costs!P20</f>
        <v/>
      </c>
      <c r="Q44" s="36">
        <f>Q18+Q37+Contract_Costs!Q20</f>
        <v/>
      </c>
      <c r="R44" s="36">
        <f>R18+R37+Contract_Costs!R20</f>
        <v/>
      </c>
      <c r="S44" s="36">
        <f>S18+S37+Contract_Costs!S20</f>
        <v/>
      </c>
      <c r="T44" s="36">
        <f>T18+T37+Contract_Costs!T20</f>
        <v/>
      </c>
      <c r="U44" s="36">
        <f>U18+U37+Contract_Costs!U20</f>
        <v/>
      </c>
      <c r="V44" s="36">
        <f>V18+V37+Contract_Costs!V20</f>
        <v/>
      </c>
      <c r="W44" s="36">
        <f>W18+W37+Contract_Costs!W20</f>
        <v/>
      </c>
      <c r="X44" s="36">
        <f>X18+X37+Contract_Costs!X20</f>
        <v/>
      </c>
      <c r="Y44" s="36">
        <f>Y18+Y37+Contract_Costs!Y20</f>
        <v/>
      </c>
      <c r="Z44" s="36">
        <f>Z18+Z37+Contract_Costs!Z20</f>
        <v/>
      </c>
      <c r="AA44" s="36">
        <f>AA18+AA37+Contract_Costs!AA20</f>
        <v/>
      </c>
      <c r="AB44" s="36">
        <f>AB18+AB37+Contract_Costs!AB20</f>
        <v/>
      </c>
      <c r="AC44" s="36">
        <f>AC18+AC37+Contract_Costs!AC20</f>
        <v/>
      </c>
      <c r="AD44" s="36">
        <f>AD18+AD37+Contract_Costs!AD20</f>
        <v/>
      </c>
      <c r="AE44" s="36">
        <f>AE18+AE37+Contract_Costs!AE20</f>
        <v/>
      </c>
      <c r="AF44" s="36">
        <f>AF18+AF37+Contract_Costs!AF20</f>
        <v/>
      </c>
      <c r="AG44" s="36">
        <f>AG18+AG37+Contract_Costs!AG20</f>
        <v/>
      </c>
      <c r="AH44" s="36">
        <f>AH18+AH37+Contract_Costs!AH20</f>
        <v/>
      </c>
      <c r="AI44" s="36">
        <f>AI18+AI37+Contract_Costs!AI20</f>
        <v/>
      </c>
      <c r="AJ44" s="36">
        <f>AJ18+AJ37+Contract_Costs!AJ20</f>
        <v/>
      </c>
      <c r="AK44" s="36">
        <f>AK18+AK37+Contract_Costs!AK20</f>
        <v/>
      </c>
      <c r="AL44" s="36">
        <f>AL18+AL37+Contract_Costs!AL20</f>
        <v/>
      </c>
      <c r="AN44" s="36">
        <f>SUMIF($O$5:$AL$5,AN$5,$O44:$AL44)</f>
        <v/>
      </c>
      <c r="AO44" s="36">
        <f>SUMIF($O$5:$AL$5,AO$5,$O44:$AL44)</f>
        <v/>
      </c>
    </row>
    <row r="45">
      <c r="A45" s="5" t="inlineStr">
        <is>
          <t>G&amp;A</t>
        </is>
      </c>
      <c r="B45" s="2" t="inlineStr">
        <is>
          <t>GBP k</t>
        </is>
      </c>
      <c r="O45" s="36">
        <f>O24+O39</f>
        <v/>
      </c>
      <c r="P45" s="36">
        <f>P24+P39</f>
        <v/>
      </c>
      <c r="Q45" s="36">
        <f>Q24+Q39</f>
        <v/>
      </c>
      <c r="R45" s="36">
        <f>R24+R39</f>
        <v/>
      </c>
      <c r="S45" s="36">
        <f>S24+S39</f>
        <v/>
      </c>
      <c r="T45" s="36">
        <f>T24+T39</f>
        <v/>
      </c>
      <c r="U45" s="36">
        <f>U24+U39</f>
        <v/>
      </c>
      <c r="V45" s="36">
        <f>V24+V39</f>
        <v/>
      </c>
      <c r="W45" s="36">
        <f>W24+W39</f>
        <v/>
      </c>
      <c r="X45" s="36">
        <f>X24+X39</f>
        <v/>
      </c>
      <c r="Y45" s="36">
        <f>Y24+Y39</f>
        <v/>
      </c>
      <c r="Z45" s="36">
        <f>Z24+Z39</f>
        <v/>
      </c>
      <c r="AA45" s="36">
        <f>AA24+AA39</f>
        <v/>
      </c>
      <c r="AB45" s="36">
        <f>AB24+AB39</f>
        <v/>
      </c>
      <c r="AC45" s="36">
        <f>AC24+AC39</f>
        <v/>
      </c>
      <c r="AD45" s="36">
        <f>AD24+AD39</f>
        <v/>
      </c>
      <c r="AE45" s="36">
        <f>AE24+AE39</f>
        <v/>
      </c>
      <c r="AF45" s="36">
        <f>AF24+AF39</f>
        <v/>
      </c>
      <c r="AG45" s="36">
        <f>AG24+AG39</f>
        <v/>
      </c>
      <c r="AH45" s="36">
        <f>AH24+AH39</f>
        <v/>
      </c>
      <c r="AI45" s="36">
        <f>AI24+AI39</f>
        <v/>
      </c>
      <c r="AJ45" s="36">
        <f>AJ24+AJ39</f>
        <v/>
      </c>
      <c r="AK45" s="36">
        <f>AK24+AK39</f>
        <v/>
      </c>
      <c r="AL45" s="36">
        <f>AL24+AL39</f>
        <v/>
      </c>
      <c r="AN45" s="36">
        <f>SUMIF($O$5:$AL$5,AN$5,$O45:$AL45)</f>
        <v/>
      </c>
      <c r="AO45" s="36">
        <f>SUMIF($O$5:$AL$5,AO$5,$O45:$AL45)</f>
        <v/>
      </c>
    </row>
    <row r="46">
      <c r="A46" s="37" t="inlineStr">
        <is>
          <t>Total operating expense</t>
        </is>
      </c>
      <c r="B46" s="38" t="inlineStr">
        <is>
          <t>GBP k</t>
        </is>
      </c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40">
        <f>SUM(O43:O45)</f>
        <v/>
      </c>
      <c r="P46" s="40">
        <f>SUM(P43:P45)</f>
        <v/>
      </c>
      <c r="Q46" s="40">
        <f>SUM(Q43:Q45)</f>
        <v/>
      </c>
      <c r="R46" s="40">
        <f>SUM(R43:R45)</f>
        <v/>
      </c>
      <c r="S46" s="40">
        <f>SUM(S43:S45)</f>
        <v/>
      </c>
      <c r="T46" s="40">
        <f>SUM(T43:T45)</f>
        <v/>
      </c>
      <c r="U46" s="40">
        <f>SUM(U43:U45)</f>
        <v/>
      </c>
      <c r="V46" s="40">
        <f>SUM(V43:V45)</f>
        <v/>
      </c>
      <c r="W46" s="40">
        <f>SUM(W43:W45)</f>
        <v/>
      </c>
      <c r="X46" s="40">
        <f>SUM(X43:X45)</f>
        <v/>
      </c>
      <c r="Y46" s="40">
        <f>SUM(Y43:Y45)</f>
        <v/>
      </c>
      <c r="Z46" s="40">
        <f>SUM(Z43:Z45)</f>
        <v/>
      </c>
      <c r="AA46" s="40">
        <f>SUM(AA43:AA45)</f>
        <v/>
      </c>
      <c r="AB46" s="40">
        <f>SUM(AB43:AB45)</f>
        <v/>
      </c>
      <c r="AC46" s="40">
        <f>SUM(AC43:AC45)</f>
        <v/>
      </c>
      <c r="AD46" s="40">
        <f>SUM(AD43:AD45)</f>
        <v/>
      </c>
      <c r="AE46" s="40">
        <f>SUM(AE43:AE45)</f>
        <v/>
      </c>
      <c r="AF46" s="40">
        <f>SUM(AF43:AF45)</f>
        <v/>
      </c>
      <c r="AG46" s="40">
        <f>SUM(AG43:AG45)</f>
        <v/>
      </c>
      <c r="AH46" s="40">
        <f>SUM(AH43:AH45)</f>
        <v/>
      </c>
      <c r="AI46" s="40">
        <f>SUM(AI43:AI45)</f>
        <v/>
      </c>
      <c r="AJ46" s="40">
        <f>SUM(AJ43:AJ45)</f>
        <v/>
      </c>
      <c r="AK46" s="40">
        <f>SUM(AK43:AK45)</f>
        <v/>
      </c>
      <c r="AL46" s="40">
        <f>SUM(AL43:AL45)</f>
        <v/>
      </c>
      <c r="AM46" s="39" t="n"/>
      <c r="AN46" s="40">
        <f>SUMIF($O$5:$AL$5,AN$5,$O46:$AL46)</f>
        <v/>
      </c>
      <c r="AO46" s="40">
        <f>SUMIF($O$5:$AL$5,AO$5,$O46:$AL46)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Contract_Costs - capitalised sales commission (IFRS 15.91)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Commission earned and treatment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Commission earned (cash cost)</t>
        </is>
      </c>
      <c r="B9" s="2" t="inlineStr">
        <is>
          <t>GBP k</t>
        </is>
      </c>
      <c r="O9" s="19">
        <f>Headcount_Opex!O40</f>
        <v/>
      </c>
      <c r="P9" s="19">
        <f>Headcount_Opex!P40</f>
        <v/>
      </c>
      <c r="Q9" s="19">
        <f>Headcount_Opex!Q40</f>
        <v/>
      </c>
      <c r="R9" s="19">
        <f>Headcount_Opex!R40</f>
        <v/>
      </c>
      <c r="S9" s="19">
        <f>Headcount_Opex!S40</f>
        <v/>
      </c>
      <c r="T9" s="19">
        <f>Headcount_Opex!T40</f>
        <v/>
      </c>
      <c r="U9" s="19">
        <f>Headcount_Opex!U40</f>
        <v/>
      </c>
      <c r="V9" s="19">
        <f>Headcount_Opex!V40</f>
        <v/>
      </c>
      <c r="W9" s="19">
        <f>Headcount_Opex!W40</f>
        <v/>
      </c>
      <c r="X9" s="19">
        <f>Headcount_Opex!X40</f>
        <v/>
      </c>
      <c r="Y9" s="19">
        <f>Headcount_Opex!Y40</f>
        <v/>
      </c>
      <c r="Z9" s="19">
        <f>Headcount_Opex!Z40</f>
        <v/>
      </c>
      <c r="AA9" s="19">
        <f>Headcount_Opex!AA40</f>
        <v/>
      </c>
      <c r="AB9" s="19">
        <f>Headcount_Opex!AB40</f>
        <v/>
      </c>
      <c r="AC9" s="19">
        <f>Headcount_Opex!AC40</f>
        <v/>
      </c>
      <c r="AD9" s="19">
        <f>Headcount_Opex!AD40</f>
        <v/>
      </c>
      <c r="AE9" s="19">
        <f>Headcount_Opex!AE40</f>
        <v/>
      </c>
      <c r="AF9" s="19">
        <f>Headcount_Opex!AF40</f>
        <v/>
      </c>
      <c r="AG9" s="19">
        <f>Headcount_Opex!AG40</f>
        <v/>
      </c>
      <c r="AH9" s="19">
        <f>Headcount_Opex!AH40</f>
        <v/>
      </c>
      <c r="AI9" s="19">
        <f>Headcount_Opex!AI40</f>
        <v/>
      </c>
      <c r="AJ9" s="19">
        <f>Headcount_Opex!AJ40</f>
        <v/>
      </c>
      <c r="AK9" s="19">
        <f>Headcount_Opex!AK40</f>
        <v/>
      </c>
      <c r="AL9" s="19">
        <f>Headcount_Opex!AL40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Capitalised</t>
        </is>
      </c>
      <c r="B10" s="2" t="inlineStr">
        <is>
          <t>GBP k</t>
        </is>
      </c>
      <c r="O10" s="36">
        <f>inp_capitalise_commission*O9</f>
        <v/>
      </c>
      <c r="P10" s="36">
        <f>inp_capitalise_commission*P9</f>
        <v/>
      </c>
      <c r="Q10" s="36">
        <f>inp_capitalise_commission*Q9</f>
        <v/>
      </c>
      <c r="R10" s="36">
        <f>inp_capitalise_commission*R9</f>
        <v/>
      </c>
      <c r="S10" s="36">
        <f>inp_capitalise_commission*S9</f>
        <v/>
      </c>
      <c r="T10" s="36">
        <f>inp_capitalise_commission*T9</f>
        <v/>
      </c>
      <c r="U10" s="36">
        <f>inp_capitalise_commission*U9</f>
        <v/>
      </c>
      <c r="V10" s="36">
        <f>inp_capitalise_commission*V9</f>
        <v/>
      </c>
      <c r="W10" s="36">
        <f>inp_capitalise_commission*W9</f>
        <v/>
      </c>
      <c r="X10" s="36">
        <f>inp_capitalise_commission*X9</f>
        <v/>
      </c>
      <c r="Y10" s="36">
        <f>inp_capitalise_commission*Y9</f>
        <v/>
      </c>
      <c r="Z10" s="36">
        <f>inp_capitalise_commission*Z9</f>
        <v/>
      </c>
      <c r="AA10" s="36">
        <f>inp_capitalise_commission*AA9</f>
        <v/>
      </c>
      <c r="AB10" s="36">
        <f>inp_capitalise_commission*AB9</f>
        <v/>
      </c>
      <c r="AC10" s="36">
        <f>inp_capitalise_commission*AC9</f>
        <v/>
      </c>
      <c r="AD10" s="36">
        <f>inp_capitalise_commission*AD9</f>
        <v/>
      </c>
      <c r="AE10" s="36">
        <f>inp_capitalise_commission*AE9</f>
        <v/>
      </c>
      <c r="AF10" s="36">
        <f>inp_capitalise_commission*AF9</f>
        <v/>
      </c>
      <c r="AG10" s="36">
        <f>inp_capitalise_commission*AG9</f>
        <v/>
      </c>
      <c r="AH10" s="36">
        <f>inp_capitalise_commission*AH9</f>
        <v/>
      </c>
      <c r="AI10" s="36">
        <f>inp_capitalise_commission*AI9</f>
        <v/>
      </c>
      <c r="AJ10" s="36">
        <f>inp_capitalise_commission*AJ9</f>
        <v/>
      </c>
      <c r="AK10" s="36">
        <f>inp_capitalise_commission*AK9</f>
        <v/>
      </c>
      <c r="AL10" s="36">
        <f>inp_capitalise_commission*AL9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Expensed immediately</t>
        </is>
      </c>
      <c r="B11" s="2" t="inlineStr">
        <is>
          <t>GBP k</t>
        </is>
      </c>
      <c r="O11" s="36">
        <f>O9-O10</f>
        <v/>
      </c>
      <c r="P11" s="36">
        <f>P9-P10</f>
        <v/>
      </c>
      <c r="Q11" s="36">
        <f>Q9-Q10</f>
        <v/>
      </c>
      <c r="R11" s="36">
        <f>R9-R10</f>
        <v/>
      </c>
      <c r="S11" s="36">
        <f>S9-S10</f>
        <v/>
      </c>
      <c r="T11" s="36">
        <f>T9-T10</f>
        <v/>
      </c>
      <c r="U11" s="36">
        <f>U9-U10</f>
        <v/>
      </c>
      <c r="V11" s="36">
        <f>V9-V10</f>
        <v/>
      </c>
      <c r="W11" s="36">
        <f>W9-W10</f>
        <v/>
      </c>
      <c r="X11" s="36">
        <f>X9-X10</f>
        <v/>
      </c>
      <c r="Y11" s="36">
        <f>Y9-Y10</f>
        <v/>
      </c>
      <c r="Z11" s="36">
        <f>Z9-Z10</f>
        <v/>
      </c>
      <c r="AA11" s="36">
        <f>AA9-AA10</f>
        <v/>
      </c>
      <c r="AB11" s="36">
        <f>AB9-AB10</f>
        <v/>
      </c>
      <c r="AC11" s="36">
        <f>AC9-AC10</f>
        <v/>
      </c>
      <c r="AD11" s="36">
        <f>AD9-AD10</f>
        <v/>
      </c>
      <c r="AE11" s="36">
        <f>AE9-AE10</f>
        <v/>
      </c>
      <c r="AF11" s="36">
        <f>AF9-AF10</f>
        <v/>
      </c>
      <c r="AG11" s="36">
        <f>AG9-AG10</f>
        <v/>
      </c>
      <c r="AH11" s="36">
        <f>AH9-AH10</f>
        <v/>
      </c>
      <c r="AI11" s="36">
        <f>AI9-AI10</f>
        <v/>
      </c>
      <c r="AJ11" s="36">
        <f>AJ9-AJ10</f>
        <v/>
      </c>
      <c r="AK11" s="36">
        <f>AK9-AK10</f>
        <v/>
      </c>
      <c r="AL11" s="36">
        <f>AL9-AL10</f>
        <v/>
      </c>
      <c r="AN11" s="36">
        <f>SUMIF($O$5:$AL$5,AN$5,$O11:$AL11)</f>
        <v/>
      </c>
      <c r="AO11" s="36">
        <f>SUMIF($O$5:$AL$5,AO$5,$O11:$AL11)</f>
        <v/>
      </c>
    </row>
    <row r="13">
      <c r="A13" s="13" t="inlineStr">
        <is>
          <t>Asset roll-forward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5" t="inlineStr">
        <is>
          <t>Opening asset</t>
        </is>
      </c>
      <c r="B14" s="2" t="inlineStr">
        <is>
          <t>GBP k</t>
        </is>
      </c>
      <c r="O14" s="36">
        <f>N17</f>
        <v/>
      </c>
      <c r="P14" s="36">
        <f>O17</f>
        <v/>
      </c>
      <c r="Q14" s="36">
        <f>P17</f>
        <v/>
      </c>
      <c r="R14" s="36">
        <f>Q17</f>
        <v/>
      </c>
      <c r="S14" s="36">
        <f>R17</f>
        <v/>
      </c>
      <c r="T14" s="36">
        <f>S17</f>
        <v/>
      </c>
      <c r="U14" s="36">
        <f>T17</f>
        <v/>
      </c>
      <c r="V14" s="36">
        <f>U17</f>
        <v/>
      </c>
      <c r="W14" s="36">
        <f>V17</f>
        <v/>
      </c>
      <c r="X14" s="36">
        <f>W17</f>
        <v/>
      </c>
      <c r="Y14" s="36">
        <f>X17</f>
        <v/>
      </c>
      <c r="Z14" s="36">
        <f>Y17</f>
        <v/>
      </c>
      <c r="AA14" s="36">
        <f>Z17</f>
        <v/>
      </c>
      <c r="AB14" s="36">
        <f>AA17</f>
        <v/>
      </c>
      <c r="AC14" s="36">
        <f>AB17</f>
        <v/>
      </c>
      <c r="AD14" s="36">
        <f>AC17</f>
        <v/>
      </c>
      <c r="AE14" s="36">
        <f>AD17</f>
        <v/>
      </c>
      <c r="AF14" s="36">
        <f>AE17</f>
        <v/>
      </c>
      <c r="AG14" s="36">
        <f>AF17</f>
        <v/>
      </c>
      <c r="AH14" s="36">
        <f>AG17</f>
        <v/>
      </c>
      <c r="AI14" s="36">
        <f>AH17</f>
        <v/>
      </c>
      <c r="AJ14" s="36">
        <f>AI17</f>
        <v/>
      </c>
      <c r="AK14" s="36">
        <f>AJ17</f>
        <v/>
      </c>
      <c r="AL14" s="36">
        <f>AK17</f>
        <v/>
      </c>
      <c r="AN14" s="36">
        <f>INDEX($O14:$AL14,1,(AN$5-1)*12+1)</f>
        <v/>
      </c>
      <c r="AO14" s="36">
        <f>INDEX($O14:$AL14,1,(AO$5-1)*12+1)</f>
        <v/>
      </c>
    </row>
    <row r="15">
      <c r="A15" s="5" t="inlineStr">
        <is>
          <t>+ Capitalised</t>
        </is>
      </c>
      <c r="B15" s="2" t="inlineStr">
        <is>
          <t>GBP k</t>
        </is>
      </c>
      <c r="O15" s="36">
        <f>O10</f>
        <v/>
      </c>
      <c r="P15" s="36">
        <f>P10</f>
        <v/>
      </c>
      <c r="Q15" s="36">
        <f>Q10</f>
        <v/>
      </c>
      <c r="R15" s="36">
        <f>R10</f>
        <v/>
      </c>
      <c r="S15" s="36">
        <f>S10</f>
        <v/>
      </c>
      <c r="T15" s="36">
        <f>T10</f>
        <v/>
      </c>
      <c r="U15" s="36">
        <f>U10</f>
        <v/>
      </c>
      <c r="V15" s="36">
        <f>V10</f>
        <v/>
      </c>
      <c r="W15" s="36">
        <f>W10</f>
        <v/>
      </c>
      <c r="X15" s="36">
        <f>X10</f>
        <v/>
      </c>
      <c r="Y15" s="36">
        <f>Y10</f>
        <v/>
      </c>
      <c r="Z15" s="36">
        <f>Z10</f>
        <v/>
      </c>
      <c r="AA15" s="36">
        <f>AA10</f>
        <v/>
      </c>
      <c r="AB15" s="36">
        <f>AB10</f>
        <v/>
      </c>
      <c r="AC15" s="36">
        <f>AC10</f>
        <v/>
      </c>
      <c r="AD15" s="36">
        <f>AD10</f>
        <v/>
      </c>
      <c r="AE15" s="36">
        <f>AE10</f>
        <v/>
      </c>
      <c r="AF15" s="36">
        <f>AF10</f>
        <v/>
      </c>
      <c r="AG15" s="36">
        <f>AG10</f>
        <v/>
      </c>
      <c r="AH15" s="36">
        <f>AH10</f>
        <v/>
      </c>
      <c r="AI15" s="36">
        <f>AI10</f>
        <v/>
      </c>
      <c r="AJ15" s="36">
        <f>AJ10</f>
        <v/>
      </c>
      <c r="AK15" s="36">
        <f>AK10</f>
        <v/>
      </c>
      <c r="AL15" s="36">
        <f>AL10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- Amortisation</t>
        </is>
      </c>
      <c r="B16" s="2" t="inlineStr">
        <is>
          <t>GBP k</t>
        </is>
      </c>
      <c r="O16" s="36">
        <f>-O14/inp_cc_life</f>
        <v/>
      </c>
      <c r="P16" s="36">
        <f>-P14/inp_cc_life</f>
        <v/>
      </c>
      <c r="Q16" s="36">
        <f>-Q14/inp_cc_life</f>
        <v/>
      </c>
      <c r="R16" s="36">
        <f>-R14/inp_cc_life</f>
        <v/>
      </c>
      <c r="S16" s="36">
        <f>-S14/inp_cc_life</f>
        <v/>
      </c>
      <c r="T16" s="36">
        <f>-T14/inp_cc_life</f>
        <v/>
      </c>
      <c r="U16" s="36">
        <f>-U14/inp_cc_life</f>
        <v/>
      </c>
      <c r="V16" s="36">
        <f>-V14/inp_cc_life</f>
        <v/>
      </c>
      <c r="W16" s="36">
        <f>-W14/inp_cc_life</f>
        <v/>
      </c>
      <c r="X16" s="36">
        <f>-X14/inp_cc_life</f>
        <v/>
      </c>
      <c r="Y16" s="36">
        <f>-Y14/inp_cc_life</f>
        <v/>
      </c>
      <c r="Z16" s="36">
        <f>-Z14/inp_cc_life</f>
        <v/>
      </c>
      <c r="AA16" s="36">
        <f>-AA14/inp_cc_life</f>
        <v/>
      </c>
      <c r="AB16" s="36">
        <f>-AB14/inp_cc_life</f>
        <v/>
      </c>
      <c r="AC16" s="36">
        <f>-AC14/inp_cc_life</f>
        <v/>
      </c>
      <c r="AD16" s="36">
        <f>-AD14/inp_cc_life</f>
        <v/>
      </c>
      <c r="AE16" s="36">
        <f>-AE14/inp_cc_life</f>
        <v/>
      </c>
      <c r="AF16" s="36">
        <f>-AF14/inp_cc_life</f>
        <v/>
      </c>
      <c r="AG16" s="36">
        <f>-AG14/inp_cc_life</f>
        <v/>
      </c>
      <c r="AH16" s="36">
        <f>-AH14/inp_cc_life</f>
        <v/>
      </c>
      <c r="AI16" s="36">
        <f>-AI14/inp_cc_life</f>
        <v/>
      </c>
      <c r="AJ16" s="36">
        <f>-AJ14/inp_cc_life</f>
        <v/>
      </c>
      <c r="AK16" s="36">
        <f>-AK14/inp_cc_life</f>
        <v/>
      </c>
      <c r="AL16" s="36">
        <f>-AL14/inp_cc_life</f>
        <v/>
      </c>
      <c r="AN16" s="36">
        <f>SUMIF($O$5:$AL$5,AN$5,$O16:$AL16)</f>
        <v/>
      </c>
      <c r="AO16" s="36">
        <f>SUMIF($O$5:$AL$5,AO$5,$O16:$AL16)</f>
        <v/>
      </c>
    </row>
    <row r="17">
      <c r="A17" s="37" t="inlineStr">
        <is>
          <t>Closing asset</t>
        </is>
      </c>
      <c r="B17" s="38" t="inlineStr">
        <is>
          <t>GBP k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40">
        <f>inp_open_cca</f>
        <v/>
      </c>
      <c r="O17" s="40">
        <f>SUM(O14:O16)</f>
        <v/>
      </c>
      <c r="P17" s="40">
        <f>SUM(P14:P16)</f>
        <v/>
      </c>
      <c r="Q17" s="40">
        <f>SUM(Q14:Q16)</f>
        <v/>
      </c>
      <c r="R17" s="40">
        <f>SUM(R14:R16)</f>
        <v/>
      </c>
      <c r="S17" s="40">
        <f>SUM(S14:S16)</f>
        <v/>
      </c>
      <c r="T17" s="40">
        <f>SUM(T14:T16)</f>
        <v/>
      </c>
      <c r="U17" s="40">
        <f>SUM(U14:U16)</f>
        <v/>
      </c>
      <c r="V17" s="40">
        <f>SUM(V14:V16)</f>
        <v/>
      </c>
      <c r="W17" s="40">
        <f>SUM(W14:W16)</f>
        <v/>
      </c>
      <c r="X17" s="40">
        <f>SUM(X14:X16)</f>
        <v/>
      </c>
      <c r="Y17" s="40">
        <f>SUM(Y14:Y16)</f>
        <v/>
      </c>
      <c r="Z17" s="40">
        <f>SUM(Z14:Z16)</f>
        <v/>
      </c>
      <c r="AA17" s="40">
        <f>SUM(AA14:AA16)</f>
        <v/>
      </c>
      <c r="AB17" s="40">
        <f>SUM(AB14:AB16)</f>
        <v/>
      </c>
      <c r="AC17" s="40">
        <f>SUM(AC14:AC16)</f>
        <v/>
      </c>
      <c r="AD17" s="40">
        <f>SUM(AD14:AD16)</f>
        <v/>
      </c>
      <c r="AE17" s="40">
        <f>SUM(AE14:AE16)</f>
        <v/>
      </c>
      <c r="AF17" s="40">
        <f>SUM(AF14:AF16)</f>
        <v/>
      </c>
      <c r="AG17" s="40">
        <f>SUM(AG14:AG16)</f>
        <v/>
      </c>
      <c r="AH17" s="40">
        <f>SUM(AH14:AH16)</f>
        <v/>
      </c>
      <c r="AI17" s="40">
        <f>SUM(AI14:AI16)</f>
        <v/>
      </c>
      <c r="AJ17" s="40">
        <f>SUM(AJ14:AJ16)</f>
        <v/>
      </c>
      <c r="AK17" s="40">
        <f>SUM(AK14:AK16)</f>
        <v/>
      </c>
      <c r="AL17" s="40">
        <f>SUM(AL14:AL16)</f>
        <v/>
      </c>
      <c r="AM17" s="39" t="n"/>
      <c r="AN17" s="40">
        <f>INDEX($O17:$AL17,1,AN$5*12)</f>
        <v/>
      </c>
      <c r="AO17" s="40">
        <f>INDEX($O17:$AL17,1,AO$5*12)</f>
        <v/>
      </c>
    </row>
    <row r="19">
      <c r="A19" s="13" t="inlineStr">
        <is>
          <t>Charge to the income statement (S&amp;M)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3" t="inlineStr">
        <is>
          <t>Commission expense = expensed now + amortisation</t>
        </is>
      </c>
      <c r="B20" s="2" t="inlineStr">
        <is>
          <t>GBP k</t>
        </is>
      </c>
      <c r="O20" s="42">
        <f>O11-O16</f>
        <v/>
      </c>
      <c r="P20" s="42">
        <f>P11-P16</f>
        <v/>
      </c>
      <c r="Q20" s="42">
        <f>Q11-Q16</f>
        <v/>
      </c>
      <c r="R20" s="42">
        <f>R11-R16</f>
        <v/>
      </c>
      <c r="S20" s="42">
        <f>S11-S16</f>
        <v/>
      </c>
      <c r="T20" s="42">
        <f>T11-T16</f>
        <v/>
      </c>
      <c r="U20" s="42">
        <f>U11-U16</f>
        <v/>
      </c>
      <c r="V20" s="42">
        <f>V11-V16</f>
        <v/>
      </c>
      <c r="W20" s="42">
        <f>W11-W16</f>
        <v/>
      </c>
      <c r="X20" s="42">
        <f>X11-X16</f>
        <v/>
      </c>
      <c r="Y20" s="42">
        <f>Y11-Y16</f>
        <v/>
      </c>
      <c r="Z20" s="42">
        <f>Z11-Z16</f>
        <v/>
      </c>
      <c r="AA20" s="42">
        <f>AA11-AA16</f>
        <v/>
      </c>
      <c r="AB20" s="42">
        <f>AB11-AB16</f>
        <v/>
      </c>
      <c r="AC20" s="42">
        <f>AC11-AC16</f>
        <v/>
      </c>
      <c r="AD20" s="42">
        <f>AD11-AD16</f>
        <v/>
      </c>
      <c r="AE20" s="42">
        <f>AE11-AE16</f>
        <v/>
      </c>
      <c r="AF20" s="42">
        <f>AF11-AF16</f>
        <v/>
      </c>
      <c r="AG20" s="42">
        <f>AG11-AG16</f>
        <v/>
      </c>
      <c r="AH20" s="42">
        <f>AH11-AH16</f>
        <v/>
      </c>
      <c r="AI20" s="42">
        <f>AI11-AI16</f>
        <v/>
      </c>
      <c r="AJ20" s="42">
        <f>AJ11-AJ16</f>
        <v/>
      </c>
      <c r="AK20" s="42">
        <f>AK11-AK16</f>
        <v/>
      </c>
      <c r="AL20" s="42">
        <f>AL11-AL16</f>
        <v/>
      </c>
      <c r="AN20" s="42">
        <f>SUMIF($O$5:$AL$5,AN$5,$O20:$AL20)</f>
        <v/>
      </c>
      <c r="AO20" s="42">
        <f>SUMIF($O$5:$AL$5,AO$5,$O20:$AL20)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COGS - hosting, licences, support and services; gross margin by stream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Cost of revenue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Hosting (closing customers x cost per customer)</t>
        </is>
      </c>
      <c r="B9" s="2" t="inlineStr">
        <is>
          <t>GBP k</t>
        </is>
      </c>
      <c r="O9" s="36">
        <f>Rev_Build!O29*inp_host_ent+Rev_Build!O40*inp_host_mid</f>
        <v/>
      </c>
      <c r="P9" s="36">
        <f>Rev_Build!P29*inp_host_ent+Rev_Build!P40*inp_host_mid</f>
        <v/>
      </c>
      <c r="Q9" s="36">
        <f>Rev_Build!Q29*inp_host_ent+Rev_Build!Q40*inp_host_mid</f>
        <v/>
      </c>
      <c r="R9" s="36">
        <f>Rev_Build!R29*inp_host_ent+Rev_Build!R40*inp_host_mid</f>
        <v/>
      </c>
      <c r="S9" s="36">
        <f>Rev_Build!S29*inp_host_ent+Rev_Build!S40*inp_host_mid</f>
        <v/>
      </c>
      <c r="T9" s="36">
        <f>Rev_Build!T29*inp_host_ent+Rev_Build!T40*inp_host_mid</f>
        <v/>
      </c>
      <c r="U9" s="36">
        <f>Rev_Build!U29*inp_host_ent+Rev_Build!U40*inp_host_mid</f>
        <v/>
      </c>
      <c r="V9" s="36">
        <f>Rev_Build!V29*inp_host_ent+Rev_Build!V40*inp_host_mid</f>
        <v/>
      </c>
      <c r="W9" s="36">
        <f>Rev_Build!W29*inp_host_ent+Rev_Build!W40*inp_host_mid</f>
        <v/>
      </c>
      <c r="X9" s="36">
        <f>Rev_Build!X29*inp_host_ent+Rev_Build!X40*inp_host_mid</f>
        <v/>
      </c>
      <c r="Y9" s="36">
        <f>Rev_Build!Y29*inp_host_ent+Rev_Build!Y40*inp_host_mid</f>
        <v/>
      </c>
      <c r="Z9" s="36">
        <f>Rev_Build!Z29*inp_host_ent+Rev_Build!Z40*inp_host_mid</f>
        <v/>
      </c>
      <c r="AA9" s="36">
        <f>Rev_Build!AA29*inp_host_ent+Rev_Build!AA40*inp_host_mid</f>
        <v/>
      </c>
      <c r="AB9" s="36">
        <f>Rev_Build!AB29*inp_host_ent+Rev_Build!AB40*inp_host_mid</f>
        <v/>
      </c>
      <c r="AC9" s="36">
        <f>Rev_Build!AC29*inp_host_ent+Rev_Build!AC40*inp_host_mid</f>
        <v/>
      </c>
      <c r="AD9" s="36">
        <f>Rev_Build!AD29*inp_host_ent+Rev_Build!AD40*inp_host_mid</f>
        <v/>
      </c>
      <c r="AE9" s="36">
        <f>Rev_Build!AE29*inp_host_ent+Rev_Build!AE40*inp_host_mid</f>
        <v/>
      </c>
      <c r="AF9" s="36">
        <f>Rev_Build!AF29*inp_host_ent+Rev_Build!AF40*inp_host_mid</f>
        <v/>
      </c>
      <c r="AG9" s="36">
        <f>Rev_Build!AG29*inp_host_ent+Rev_Build!AG40*inp_host_mid</f>
        <v/>
      </c>
      <c r="AH9" s="36">
        <f>Rev_Build!AH29*inp_host_ent+Rev_Build!AH40*inp_host_mid</f>
        <v/>
      </c>
      <c r="AI9" s="36">
        <f>Rev_Build!AI29*inp_host_ent+Rev_Build!AI40*inp_host_mid</f>
        <v/>
      </c>
      <c r="AJ9" s="36">
        <f>Rev_Build!AJ29*inp_host_ent+Rev_Build!AJ40*inp_host_mid</f>
        <v/>
      </c>
      <c r="AK9" s="36">
        <f>Rev_Build!AK29*inp_host_ent+Rev_Build!AK40*inp_host_mid</f>
        <v/>
      </c>
      <c r="AL9" s="36">
        <f>Rev_Build!AL29*inp_host_ent+Rev_Build!AL40*inp_host_mid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Third-party licences</t>
        </is>
      </c>
      <c r="B10" s="2" t="inlineStr">
        <is>
          <t>GBP k</t>
        </is>
      </c>
      <c r="O10" s="36">
        <f>inp_licence_pct*Rev_Rec!O20</f>
        <v/>
      </c>
      <c r="P10" s="36">
        <f>inp_licence_pct*Rev_Rec!P20</f>
        <v/>
      </c>
      <c r="Q10" s="36">
        <f>inp_licence_pct*Rev_Rec!Q20</f>
        <v/>
      </c>
      <c r="R10" s="36">
        <f>inp_licence_pct*Rev_Rec!R20</f>
        <v/>
      </c>
      <c r="S10" s="36">
        <f>inp_licence_pct*Rev_Rec!S20</f>
        <v/>
      </c>
      <c r="T10" s="36">
        <f>inp_licence_pct*Rev_Rec!T20</f>
        <v/>
      </c>
      <c r="U10" s="36">
        <f>inp_licence_pct*Rev_Rec!U20</f>
        <v/>
      </c>
      <c r="V10" s="36">
        <f>inp_licence_pct*Rev_Rec!V20</f>
        <v/>
      </c>
      <c r="W10" s="36">
        <f>inp_licence_pct*Rev_Rec!W20</f>
        <v/>
      </c>
      <c r="X10" s="36">
        <f>inp_licence_pct*Rev_Rec!X20</f>
        <v/>
      </c>
      <c r="Y10" s="36">
        <f>inp_licence_pct*Rev_Rec!Y20</f>
        <v/>
      </c>
      <c r="Z10" s="36">
        <f>inp_licence_pct*Rev_Rec!Z20</f>
        <v/>
      </c>
      <c r="AA10" s="36">
        <f>inp_licence_pct*Rev_Rec!AA20</f>
        <v/>
      </c>
      <c r="AB10" s="36">
        <f>inp_licence_pct*Rev_Rec!AB20</f>
        <v/>
      </c>
      <c r="AC10" s="36">
        <f>inp_licence_pct*Rev_Rec!AC20</f>
        <v/>
      </c>
      <c r="AD10" s="36">
        <f>inp_licence_pct*Rev_Rec!AD20</f>
        <v/>
      </c>
      <c r="AE10" s="36">
        <f>inp_licence_pct*Rev_Rec!AE20</f>
        <v/>
      </c>
      <c r="AF10" s="36">
        <f>inp_licence_pct*Rev_Rec!AF20</f>
        <v/>
      </c>
      <c r="AG10" s="36">
        <f>inp_licence_pct*Rev_Rec!AG20</f>
        <v/>
      </c>
      <c r="AH10" s="36">
        <f>inp_licence_pct*Rev_Rec!AH20</f>
        <v/>
      </c>
      <c r="AI10" s="36">
        <f>inp_licence_pct*Rev_Rec!AI20</f>
        <v/>
      </c>
      <c r="AJ10" s="36">
        <f>inp_licence_pct*Rev_Rec!AJ20</f>
        <v/>
      </c>
      <c r="AK10" s="36">
        <f>inp_licence_pct*Rev_Rec!AK20</f>
        <v/>
      </c>
      <c r="AL10" s="36">
        <f>inp_licence_pct*Rev_Rec!AL20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Customer Success payroll</t>
        </is>
      </c>
      <c r="B11" s="2" t="inlineStr">
        <is>
          <t>GBP k</t>
        </is>
      </c>
      <c r="O11" s="19">
        <f>Headcount_Opex!O30</f>
        <v/>
      </c>
      <c r="P11" s="19">
        <f>Headcount_Opex!P30</f>
        <v/>
      </c>
      <c r="Q11" s="19">
        <f>Headcount_Opex!Q30</f>
        <v/>
      </c>
      <c r="R11" s="19">
        <f>Headcount_Opex!R30</f>
        <v/>
      </c>
      <c r="S11" s="19">
        <f>Headcount_Opex!S30</f>
        <v/>
      </c>
      <c r="T11" s="19">
        <f>Headcount_Opex!T30</f>
        <v/>
      </c>
      <c r="U11" s="19">
        <f>Headcount_Opex!U30</f>
        <v/>
      </c>
      <c r="V11" s="19">
        <f>Headcount_Opex!V30</f>
        <v/>
      </c>
      <c r="W11" s="19">
        <f>Headcount_Opex!W30</f>
        <v/>
      </c>
      <c r="X11" s="19">
        <f>Headcount_Opex!X30</f>
        <v/>
      </c>
      <c r="Y11" s="19">
        <f>Headcount_Opex!Y30</f>
        <v/>
      </c>
      <c r="Z11" s="19">
        <f>Headcount_Opex!Z30</f>
        <v/>
      </c>
      <c r="AA11" s="19">
        <f>Headcount_Opex!AA30</f>
        <v/>
      </c>
      <c r="AB11" s="19">
        <f>Headcount_Opex!AB30</f>
        <v/>
      </c>
      <c r="AC11" s="19">
        <f>Headcount_Opex!AC30</f>
        <v/>
      </c>
      <c r="AD11" s="19">
        <f>Headcount_Opex!AD30</f>
        <v/>
      </c>
      <c r="AE11" s="19">
        <f>Headcount_Opex!AE30</f>
        <v/>
      </c>
      <c r="AF11" s="19">
        <f>Headcount_Opex!AF30</f>
        <v/>
      </c>
      <c r="AG11" s="19">
        <f>Headcount_Opex!AG30</f>
        <v/>
      </c>
      <c r="AH11" s="19">
        <f>Headcount_Opex!AH30</f>
        <v/>
      </c>
      <c r="AI11" s="19">
        <f>Headcount_Opex!AI30</f>
        <v/>
      </c>
      <c r="AJ11" s="19">
        <f>Headcount_Opex!AJ30</f>
        <v/>
      </c>
      <c r="AK11" s="19">
        <f>Headcount_Opex!AK30</f>
        <v/>
      </c>
      <c r="AL11" s="19">
        <f>Headcount_Opex!AL30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Implementation delivery cost</t>
        </is>
      </c>
      <c r="B12" s="2" t="inlineStr">
        <is>
          <t>GBP k</t>
        </is>
      </c>
      <c r="O12" s="36">
        <f>inp_services_cost_pct*Rev_Rec!O21</f>
        <v/>
      </c>
      <c r="P12" s="36">
        <f>inp_services_cost_pct*Rev_Rec!P21</f>
        <v/>
      </c>
      <c r="Q12" s="36">
        <f>inp_services_cost_pct*Rev_Rec!Q21</f>
        <v/>
      </c>
      <c r="R12" s="36">
        <f>inp_services_cost_pct*Rev_Rec!R21</f>
        <v/>
      </c>
      <c r="S12" s="36">
        <f>inp_services_cost_pct*Rev_Rec!S21</f>
        <v/>
      </c>
      <c r="T12" s="36">
        <f>inp_services_cost_pct*Rev_Rec!T21</f>
        <v/>
      </c>
      <c r="U12" s="36">
        <f>inp_services_cost_pct*Rev_Rec!U21</f>
        <v/>
      </c>
      <c r="V12" s="36">
        <f>inp_services_cost_pct*Rev_Rec!V21</f>
        <v/>
      </c>
      <c r="W12" s="36">
        <f>inp_services_cost_pct*Rev_Rec!W21</f>
        <v/>
      </c>
      <c r="X12" s="36">
        <f>inp_services_cost_pct*Rev_Rec!X21</f>
        <v/>
      </c>
      <c r="Y12" s="36">
        <f>inp_services_cost_pct*Rev_Rec!Y21</f>
        <v/>
      </c>
      <c r="Z12" s="36">
        <f>inp_services_cost_pct*Rev_Rec!Z21</f>
        <v/>
      </c>
      <c r="AA12" s="36">
        <f>inp_services_cost_pct*Rev_Rec!AA21</f>
        <v/>
      </c>
      <c r="AB12" s="36">
        <f>inp_services_cost_pct*Rev_Rec!AB21</f>
        <v/>
      </c>
      <c r="AC12" s="36">
        <f>inp_services_cost_pct*Rev_Rec!AC21</f>
        <v/>
      </c>
      <c r="AD12" s="36">
        <f>inp_services_cost_pct*Rev_Rec!AD21</f>
        <v/>
      </c>
      <c r="AE12" s="36">
        <f>inp_services_cost_pct*Rev_Rec!AE21</f>
        <v/>
      </c>
      <c r="AF12" s="36">
        <f>inp_services_cost_pct*Rev_Rec!AF21</f>
        <v/>
      </c>
      <c r="AG12" s="36">
        <f>inp_services_cost_pct*Rev_Rec!AG21</f>
        <v/>
      </c>
      <c r="AH12" s="36">
        <f>inp_services_cost_pct*Rev_Rec!AH21</f>
        <v/>
      </c>
      <c r="AI12" s="36">
        <f>inp_services_cost_pct*Rev_Rec!AI21</f>
        <v/>
      </c>
      <c r="AJ12" s="36">
        <f>inp_services_cost_pct*Rev_Rec!AJ21</f>
        <v/>
      </c>
      <c r="AK12" s="36">
        <f>inp_services_cost_pct*Rev_Rec!AK21</f>
        <v/>
      </c>
      <c r="AL12" s="36">
        <f>inp_services_cost_pct*Rev_Rec!AL21</f>
        <v/>
      </c>
      <c r="AN12" s="36">
        <f>SUMIF($O$5:$AL$5,AN$5,$O12:$AL12)</f>
        <v/>
      </c>
      <c r="AO12" s="36">
        <f>SUMIF($O$5:$AL$5,AO$5,$O12:$AL12)</f>
        <v/>
      </c>
    </row>
    <row r="13">
      <c r="A13" s="37" t="inlineStr">
        <is>
          <t>Total COGS</t>
        </is>
      </c>
      <c r="B13" s="38" t="inlineStr">
        <is>
          <t>GBP k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40">
        <f>SUM(O9:O12)</f>
        <v/>
      </c>
      <c r="P13" s="40">
        <f>SUM(P9:P12)</f>
        <v/>
      </c>
      <c r="Q13" s="40">
        <f>SUM(Q9:Q12)</f>
        <v/>
      </c>
      <c r="R13" s="40">
        <f>SUM(R9:R12)</f>
        <v/>
      </c>
      <c r="S13" s="40">
        <f>SUM(S9:S12)</f>
        <v/>
      </c>
      <c r="T13" s="40">
        <f>SUM(T9:T12)</f>
        <v/>
      </c>
      <c r="U13" s="40">
        <f>SUM(U9:U12)</f>
        <v/>
      </c>
      <c r="V13" s="40">
        <f>SUM(V9:V12)</f>
        <v/>
      </c>
      <c r="W13" s="40">
        <f>SUM(W9:W12)</f>
        <v/>
      </c>
      <c r="X13" s="40">
        <f>SUM(X9:X12)</f>
        <v/>
      </c>
      <c r="Y13" s="40">
        <f>SUM(Y9:Y12)</f>
        <v/>
      </c>
      <c r="Z13" s="40">
        <f>SUM(Z9:Z12)</f>
        <v/>
      </c>
      <c r="AA13" s="40">
        <f>SUM(AA9:AA12)</f>
        <v/>
      </c>
      <c r="AB13" s="40">
        <f>SUM(AB9:AB12)</f>
        <v/>
      </c>
      <c r="AC13" s="40">
        <f>SUM(AC9:AC12)</f>
        <v/>
      </c>
      <c r="AD13" s="40">
        <f>SUM(AD9:AD12)</f>
        <v/>
      </c>
      <c r="AE13" s="40">
        <f>SUM(AE9:AE12)</f>
        <v/>
      </c>
      <c r="AF13" s="40">
        <f>SUM(AF9:AF12)</f>
        <v/>
      </c>
      <c r="AG13" s="40">
        <f>SUM(AG9:AG12)</f>
        <v/>
      </c>
      <c r="AH13" s="40">
        <f>SUM(AH9:AH12)</f>
        <v/>
      </c>
      <c r="AI13" s="40">
        <f>SUM(AI9:AI12)</f>
        <v/>
      </c>
      <c r="AJ13" s="40">
        <f>SUM(AJ9:AJ12)</f>
        <v/>
      </c>
      <c r="AK13" s="40">
        <f>SUM(AK9:AK12)</f>
        <v/>
      </c>
      <c r="AL13" s="40">
        <f>SUM(AL9:AL12)</f>
        <v/>
      </c>
      <c r="AM13" s="39" t="n"/>
      <c r="AN13" s="40">
        <f>SUMIF($O$5:$AL$5,AN$5,$O13:$AL13)</f>
        <v/>
      </c>
      <c r="AO13" s="40">
        <f>SUMIF($O$5:$AL$5,AO$5,$O13:$AL13)</f>
        <v/>
      </c>
    </row>
    <row r="15">
      <c r="A15" s="13" t="inlineStr">
        <is>
          <t>Gross margin by stream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5" t="inlineStr">
        <is>
          <t>Subscription revenue</t>
        </is>
      </c>
      <c r="B16" s="2" t="inlineStr">
        <is>
          <t>GBP k</t>
        </is>
      </c>
      <c r="O16" s="19">
        <f>Rev_Rec!O20</f>
        <v/>
      </c>
      <c r="P16" s="19">
        <f>Rev_Rec!P20</f>
        <v/>
      </c>
      <c r="Q16" s="19">
        <f>Rev_Rec!Q20</f>
        <v/>
      </c>
      <c r="R16" s="19">
        <f>Rev_Rec!R20</f>
        <v/>
      </c>
      <c r="S16" s="19">
        <f>Rev_Rec!S20</f>
        <v/>
      </c>
      <c r="T16" s="19">
        <f>Rev_Rec!T20</f>
        <v/>
      </c>
      <c r="U16" s="19">
        <f>Rev_Rec!U20</f>
        <v/>
      </c>
      <c r="V16" s="19">
        <f>Rev_Rec!V20</f>
        <v/>
      </c>
      <c r="W16" s="19">
        <f>Rev_Rec!W20</f>
        <v/>
      </c>
      <c r="X16" s="19">
        <f>Rev_Rec!X20</f>
        <v/>
      </c>
      <c r="Y16" s="19">
        <f>Rev_Rec!Y20</f>
        <v/>
      </c>
      <c r="Z16" s="19">
        <f>Rev_Rec!Z20</f>
        <v/>
      </c>
      <c r="AA16" s="19">
        <f>Rev_Rec!AA20</f>
        <v/>
      </c>
      <c r="AB16" s="19">
        <f>Rev_Rec!AB20</f>
        <v/>
      </c>
      <c r="AC16" s="19">
        <f>Rev_Rec!AC20</f>
        <v/>
      </c>
      <c r="AD16" s="19">
        <f>Rev_Rec!AD20</f>
        <v/>
      </c>
      <c r="AE16" s="19">
        <f>Rev_Rec!AE20</f>
        <v/>
      </c>
      <c r="AF16" s="19">
        <f>Rev_Rec!AF20</f>
        <v/>
      </c>
      <c r="AG16" s="19">
        <f>Rev_Rec!AG20</f>
        <v/>
      </c>
      <c r="AH16" s="19">
        <f>Rev_Rec!AH20</f>
        <v/>
      </c>
      <c r="AI16" s="19">
        <f>Rev_Rec!AI20</f>
        <v/>
      </c>
      <c r="AJ16" s="19">
        <f>Rev_Rec!AJ20</f>
        <v/>
      </c>
      <c r="AK16" s="19">
        <f>Rev_Rec!AK20</f>
        <v/>
      </c>
      <c r="AL16" s="19">
        <f>Rev_Rec!AL20</f>
        <v/>
      </c>
      <c r="AN16" s="36">
        <f>SUMIF($O$5:$AL$5,AN$5,$O16:$AL16)</f>
        <v/>
      </c>
      <c r="AO16" s="36">
        <f>SUMIF($O$5:$AL$5,AO$5,$O16:$AL16)</f>
        <v/>
      </c>
    </row>
    <row r="17">
      <c r="A17" s="5" t="inlineStr">
        <is>
          <t>Subscription gross profit</t>
        </is>
      </c>
      <c r="B17" s="2" t="inlineStr">
        <is>
          <t>GBP k</t>
        </is>
      </c>
      <c r="O17" s="36">
        <f>O16-O9-O10-O11</f>
        <v/>
      </c>
      <c r="P17" s="36">
        <f>P16-P9-P10-P11</f>
        <v/>
      </c>
      <c r="Q17" s="36">
        <f>Q16-Q9-Q10-Q11</f>
        <v/>
      </c>
      <c r="R17" s="36">
        <f>R16-R9-R10-R11</f>
        <v/>
      </c>
      <c r="S17" s="36">
        <f>S16-S9-S10-S11</f>
        <v/>
      </c>
      <c r="T17" s="36">
        <f>T16-T9-T10-T11</f>
        <v/>
      </c>
      <c r="U17" s="36">
        <f>U16-U9-U10-U11</f>
        <v/>
      </c>
      <c r="V17" s="36">
        <f>V16-V9-V10-V11</f>
        <v/>
      </c>
      <c r="W17" s="36">
        <f>W16-W9-W10-W11</f>
        <v/>
      </c>
      <c r="X17" s="36">
        <f>X16-X9-X10-X11</f>
        <v/>
      </c>
      <c r="Y17" s="36">
        <f>Y16-Y9-Y10-Y11</f>
        <v/>
      </c>
      <c r="Z17" s="36">
        <f>Z16-Z9-Z10-Z11</f>
        <v/>
      </c>
      <c r="AA17" s="36">
        <f>AA16-AA9-AA10-AA11</f>
        <v/>
      </c>
      <c r="AB17" s="36">
        <f>AB16-AB9-AB10-AB11</f>
        <v/>
      </c>
      <c r="AC17" s="36">
        <f>AC16-AC9-AC10-AC11</f>
        <v/>
      </c>
      <c r="AD17" s="36">
        <f>AD16-AD9-AD10-AD11</f>
        <v/>
      </c>
      <c r="AE17" s="36">
        <f>AE16-AE9-AE10-AE11</f>
        <v/>
      </c>
      <c r="AF17" s="36">
        <f>AF16-AF9-AF10-AF11</f>
        <v/>
      </c>
      <c r="AG17" s="36">
        <f>AG16-AG9-AG10-AG11</f>
        <v/>
      </c>
      <c r="AH17" s="36">
        <f>AH16-AH9-AH10-AH11</f>
        <v/>
      </c>
      <c r="AI17" s="36">
        <f>AI16-AI9-AI10-AI11</f>
        <v/>
      </c>
      <c r="AJ17" s="36">
        <f>AJ16-AJ9-AJ10-AJ11</f>
        <v/>
      </c>
      <c r="AK17" s="36">
        <f>AK16-AK9-AK10-AK11</f>
        <v/>
      </c>
      <c r="AL17" s="36">
        <f>AL16-AL9-AL10-AL11</f>
        <v/>
      </c>
      <c r="AN17" s="36">
        <f>SUMIF($O$5:$AL$5,AN$5,$O17:$AL17)</f>
        <v/>
      </c>
      <c r="AO17" s="36">
        <f>SUMIF($O$5:$AL$5,AO$5,$O17:$AL17)</f>
        <v/>
      </c>
    </row>
    <row r="18">
      <c r="A18" s="5" t="inlineStr">
        <is>
          <t>Subscription gross margin</t>
        </is>
      </c>
      <c r="B18" s="2" t="inlineStr">
        <is>
          <t>%</t>
        </is>
      </c>
      <c r="O18" s="35">
        <f>O17/O16</f>
        <v/>
      </c>
      <c r="P18" s="35">
        <f>P17/P16</f>
        <v/>
      </c>
      <c r="Q18" s="35">
        <f>Q17/Q16</f>
        <v/>
      </c>
      <c r="R18" s="35">
        <f>R17/R16</f>
        <v/>
      </c>
      <c r="S18" s="35">
        <f>S17/S16</f>
        <v/>
      </c>
      <c r="T18" s="35">
        <f>T17/T16</f>
        <v/>
      </c>
      <c r="U18" s="35">
        <f>U17/U16</f>
        <v/>
      </c>
      <c r="V18" s="35">
        <f>V17/V16</f>
        <v/>
      </c>
      <c r="W18" s="35">
        <f>W17/W16</f>
        <v/>
      </c>
      <c r="X18" s="35">
        <f>X17/X16</f>
        <v/>
      </c>
      <c r="Y18" s="35">
        <f>Y17/Y16</f>
        <v/>
      </c>
      <c r="Z18" s="35">
        <f>Z17/Z16</f>
        <v/>
      </c>
      <c r="AA18" s="35">
        <f>AA17/AA16</f>
        <v/>
      </c>
      <c r="AB18" s="35">
        <f>AB17/AB16</f>
        <v/>
      </c>
      <c r="AC18" s="35">
        <f>AC17/AC16</f>
        <v/>
      </c>
      <c r="AD18" s="35">
        <f>AD17/AD16</f>
        <v/>
      </c>
      <c r="AE18" s="35">
        <f>AE17/AE16</f>
        <v/>
      </c>
      <c r="AF18" s="35">
        <f>AF17/AF16</f>
        <v/>
      </c>
      <c r="AG18" s="35">
        <f>AG17/AG16</f>
        <v/>
      </c>
      <c r="AH18" s="35">
        <f>AH17/AH16</f>
        <v/>
      </c>
      <c r="AI18" s="35">
        <f>AI17/AI16</f>
        <v/>
      </c>
      <c r="AJ18" s="35">
        <f>AJ17/AJ16</f>
        <v/>
      </c>
      <c r="AK18" s="35">
        <f>AK17/AK16</f>
        <v/>
      </c>
      <c r="AL18" s="35">
        <f>AL17/AL16</f>
        <v/>
      </c>
      <c r="AN18" s="35">
        <f>INDEX($O18:$AL18,1,AN$5*12)</f>
        <v/>
      </c>
      <c r="AO18" s="35">
        <f>INDEX($O18:$AL18,1,AO$5*12)</f>
        <v/>
      </c>
    </row>
    <row r="19">
      <c r="A19" s="5" t="inlineStr">
        <is>
          <t>Implementation revenue</t>
        </is>
      </c>
      <c r="B19" s="2" t="inlineStr">
        <is>
          <t>GBP k</t>
        </is>
      </c>
      <c r="O19" s="19">
        <f>Rev_Rec!O21</f>
        <v/>
      </c>
      <c r="P19" s="19">
        <f>Rev_Rec!P21</f>
        <v/>
      </c>
      <c r="Q19" s="19">
        <f>Rev_Rec!Q21</f>
        <v/>
      </c>
      <c r="R19" s="19">
        <f>Rev_Rec!R21</f>
        <v/>
      </c>
      <c r="S19" s="19">
        <f>Rev_Rec!S21</f>
        <v/>
      </c>
      <c r="T19" s="19">
        <f>Rev_Rec!T21</f>
        <v/>
      </c>
      <c r="U19" s="19">
        <f>Rev_Rec!U21</f>
        <v/>
      </c>
      <c r="V19" s="19">
        <f>Rev_Rec!V21</f>
        <v/>
      </c>
      <c r="W19" s="19">
        <f>Rev_Rec!W21</f>
        <v/>
      </c>
      <c r="X19" s="19">
        <f>Rev_Rec!X21</f>
        <v/>
      </c>
      <c r="Y19" s="19">
        <f>Rev_Rec!Y21</f>
        <v/>
      </c>
      <c r="Z19" s="19">
        <f>Rev_Rec!Z21</f>
        <v/>
      </c>
      <c r="AA19" s="19">
        <f>Rev_Rec!AA21</f>
        <v/>
      </c>
      <c r="AB19" s="19">
        <f>Rev_Rec!AB21</f>
        <v/>
      </c>
      <c r="AC19" s="19">
        <f>Rev_Rec!AC21</f>
        <v/>
      </c>
      <c r="AD19" s="19">
        <f>Rev_Rec!AD21</f>
        <v/>
      </c>
      <c r="AE19" s="19">
        <f>Rev_Rec!AE21</f>
        <v/>
      </c>
      <c r="AF19" s="19">
        <f>Rev_Rec!AF21</f>
        <v/>
      </c>
      <c r="AG19" s="19">
        <f>Rev_Rec!AG21</f>
        <v/>
      </c>
      <c r="AH19" s="19">
        <f>Rev_Rec!AH21</f>
        <v/>
      </c>
      <c r="AI19" s="19">
        <f>Rev_Rec!AI21</f>
        <v/>
      </c>
      <c r="AJ19" s="19">
        <f>Rev_Rec!AJ21</f>
        <v/>
      </c>
      <c r="AK19" s="19">
        <f>Rev_Rec!AK21</f>
        <v/>
      </c>
      <c r="AL19" s="19">
        <f>Rev_Rec!AL21</f>
        <v/>
      </c>
      <c r="AN19" s="36">
        <f>SUMIF($O$5:$AL$5,AN$5,$O19:$AL19)</f>
        <v/>
      </c>
      <c r="AO19" s="36">
        <f>SUMIF($O$5:$AL$5,AO$5,$O19:$AL19)</f>
        <v/>
      </c>
    </row>
    <row r="20">
      <c r="A20" s="5" t="inlineStr">
        <is>
          <t>Implementation gross profit</t>
        </is>
      </c>
      <c r="B20" s="2" t="inlineStr">
        <is>
          <t>GBP k</t>
        </is>
      </c>
      <c r="O20" s="36">
        <f>O19-O12</f>
        <v/>
      </c>
      <c r="P20" s="36">
        <f>P19-P12</f>
        <v/>
      </c>
      <c r="Q20" s="36">
        <f>Q19-Q12</f>
        <v/>
      </c>
      <c r="R20" s="36">
        <f>R19-R12</f>
        <v/>
      </c>
      <c r="S20" s="36">
        <f>S19-S12</f>
        <v/>
      </c>
      <c r="T20" s="36">
        <f>T19-T12</f>
        <v/>
      </c>
      <c r="U20" s="36">
        <f>U19-U12</f>
        <v/>
      </c>
      <c r="V20" s="36">
        <f>V19-V12</f>
        <v/>
      </c>
      <c r="W20" s="36">
        <f>W19-W12</f>
        <v/>
      </c>
      <c r="X20" s="36">
        <f>X19-X12</f>
        <v/>
      </c>
      <c r="Y20" s="36">
        <f>Y19-Y12</f>
        <v/>
      </c>
      <c r="Z20" s="36">
        <f>Z19-Z12</f>
        <v/>
      </c>
      <c r="AA20" s="36">
        <f>AA19-AA12</f>
        <v/>
      </c>
      <c r="AB20" s="36">
        <f>AB19-AB12</f>
        <v/>
      </c>
      <c r="AC20" s="36">
        <f>AC19-AC12</f>
        <v/>
      </c>
      <c r="AD20" s="36">
        <f>AD19-AD12</f>
        <v/>
      </c>
      <c r="AE20" s="36">
        <f>AE19-AE12</f>
        <v/>
      </c>
      <c r="AF20" s="36">
        <f>AF19-AF12</f>
        <v/>
      </c>
      <c r="AG20" s="36">
        <f>AG19-AG12</f>
        <v/>
      </c>
      <c r="AH20" s="36">
        <f>AH19-AH12</f>
        <v/>
      </c>
      <c r="AI20" s="36">
        <f>AI19-AI12</f>
        <v/>
      </c>
      <c r="AJ20" s="36">
        <f>AJ19-AJ12</f>
        <v/>
      </c>
      <c r="AK20" s="36">
        <f>AK19-AK12</f>
        <v/>
      </c>
      <c r="AL20" s="36">
        <f>AL19-AL12</f>
        <v/>
      </c>
      <c r="AN20" s="36">
        <f>SUMIF($O$5:$AL$5,AN$5,$O20:$AL20)</f>
        <v/>
      </c>
      <c r="AO20" s="36">
        <f>SUMIF($O$5:$AL$5,AO$5,$O20:$AL20)</f>
        <v/>
      </c>
    </row>
    <row r="21">
      <c r="A21" s="5" t="inlineStr">
        <is>
          <t>Implementation gross margin</t>
        </is>
      </c>
      <c r="B21" s="2" t="inlineStr">
        <is>
          <t>%</t>
        </is>
      </c>
      <c r="O21" s="35">
        <f>IF(O19=0,0,O20/O19)</f>
        <v/>
      </c>
      <c r="P21" s="35">
        <f>IF(P19=0,0,P20/P19)</f>
        <v/>
      </c>
      <c r="Q21" s="35">
        <f>IF(Q19=0,0,Q20/Q19)</f>
        <v/>
      </c>
      <c r="R21" s="35">
        <f>IF(R19=0,0,R20/R19)</f>
        <v/>
      </c>
      <c r="S21" s="35">
        <f>IF(S19=0,0,S20/S19)</f>
        <v/>
      </c>
      <c r="T21" s="35">
        <f>IF(T19=0,0,T20/T19)</f>
        <v/>
      </c>
      <c r="U21" s="35">
        <f>IF(U19=0,0,U20/U19)</f>
        <v/>
      </c>
      <c r="V21" s="35">
        <f>IF(V19=0,0,V20/V19)</f>
        <v/>
      </c>
      <c r="W21" s="35">
        <f>IF(W19=0,0,W20/W19)</f>
        <v/>
      </c>
      <c r="X21" s="35">
        <f>IF(X19=0,0,X20/X19)</f>
        <v/>
      </c>
      <c r="Y21" s="35">
        <f>IF(Y19=0,0,Y20/Y19)</f>
        <v/>
      </c>
      <c r="Z21" s="35">
        <f>IF(Z19=0,0,Z20/Z19)</f>
        <v/>
      </c>
      <c r="AA21" s="35">
        <f>IF(AA19=0,0,AA20/AA19)</f>
        <v/>
      </c>
      <c r="AB21" s="35">
        <f>IF(AB19=0,0,AB20/AB19)</f>
        <v/>
      </c>
      <c r="AC21" s="35">
        <f>IF(AC19=0,0,AC20/AC19)</f>
        <v/>
      </c>
      <c r="AD21" s="35">
        <f>IF(AD19=0,0,AD20/AD19)</f>
        <v/>
      </c>
      <c r="AE21" s="35">
        <f>IF(AE19=0,0,AE20/AE19)</f>
        <v/>
      </c>
      <c r="AF21" s="35">
        <f>IF(AF19=0,0,AF20/AF19)</f>
        <v/>
      </c>
      <c r="AG21" s="35">
        <f>IF(AG19=0,0,AG20/AG19)</f>
        <v/>
      </c>
      <c r="AH21" s="35">
        <f>IF(AH19=0,0,AH20/AH19)</f>
        <v/>
      </c>
      <c r="AI21" s="35">
        <f>IF(AI19=0,0,AI20/AI19)</f>
        <v/>
      </c>
      <c r="AJ21" s="35">
        <f>IF(AJ19=0,0,AJ20/AJ19)</f>
        <v/>
      </c>
      <c r="AK21" s="35">
        <f>IF(AK19=0,0,AK20/AK19)</f>
        <v/>
      </c>
      <c r="AL21" s="35">
        <f>IF(AL19=0,0,AL20/AL19)</f>
        <v/>
      </c>
      <c r="AN21" s="35">
        <f>INDEX($O21:$AL21,1,AN$5*12)</f>
        <v/>
      </c>
      <c r="AO21" s="35">
        <f>INDEX($O21:$AL21,1,AO$5*12)</f>
        <v/>
      </c>
    </row>
    <row r="22">
      <c r="A22" s="37" t="inlineStr">
        <is>
          <t>Total gross profit</t>
        </is>
      </c>
      <c r="B22" s="38" t="inlineStr">
        <is>
          <t>GBP k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40">
        <f>O17+O20</f>
        <v/>
      </c>
      <c r="P22" s="40">
        <f>P17+P20</f>
        <v/>
      </c>
      <c r="Q22" s="40">
        <f>Q17+Q20</f>
        <v/>
      </c>
      <c r="R22" s="40">
        <f>R17+R20</f>
        <v/>
      </c>
      <c r="S22" s="40">
        <f>S17+S20</f>
        <v/>
      </c>
      <c r="T22" s="40">
        <f>T17+T20</f>
        <v/>
      </c>
      <c r="U22" s="40">
        <f>U17+U20</f>
        <v/>
      </c>
      <c r="V22" s="40">
        <f>V17+V20</f>
        <v/>
      </c>
      <c r="W22" s="40">
        <f>W17+W20</f>
        <v/>
      </c>
      <c r="X22" s="40">
        <f>X17+X20</f>
        <v/>
      </c>
      <c r="Y22" s="40">
        <f>Y17+Y20</f>
        <v/>
      </c>
      <c r="Z22" s="40">
        <f>Z17+Z20</f>
        <v/>
      </c>
      <c r="AA22" s="40">
        <f>AA17+AA20</f>
        <v/>
      </c>
      <c r="AB22" s="40">
        <f>AB17+AB20</f>
        <v/>
      </c>
      <c r="AC22" s="40">
        <f>AC17+AC20</f>
        <v/>
      </c>
      <c r="AD22" s="40">
        <f>AD17+AD20</f>
        <v/>
      </c>
      <c r="AE22" s="40">
        <f>AE17+AE20</f>
        <v/>
      </c>
      <c r="AF22" s="40">
        <f>AF17+AF20</f>
        <v/>
      </c>
      <c r="AG22" s="40">
        <f>AG17+AG20</f>
        <v/>
      </c>
      <c r="AH22" s="40">
        <f>AH17+AH20</f>
        <v/>
      </c>
      <c r="AI22" s="40">
        <f>AI17+AI20</f>
        <v/>
      </c>
      <c r="AJ22" s="40">
        <f>AJ17+AJ20</f>
        <v/>
      </c>
      <c r="AK22" s="40">
        <f>AK17+AK20</f>
        <v/>
      </c>
      <c r="AL22" s="40">
        <f>AL17+AL20</f>
        <v/>
      </c>
      <c r="AM22" s="39" t="n"/>
      <c r="AN22" s="40">
        <f>SUMIF($O$5:$AL$5,AN$5,$O22:$AL22)</f>
        <v/>
      </c>
      <c r="AO22" s="40">
        <f>SUMIF($O$5:$AL$5,AO$5,$O22:$AL22)</f>
        <v/>
      </c>
    </row>
    <row r="23">
      <c r="A23" s="3" t="inlineStr">
        <is>
          <t>Blended gross margin</t>
        </is>
      </c>
      <c r="B23" s="2" t="inlineStr">
        <is>
          <t>%</t>
        </is>
      </c>
      <c r="O23" s="44">
        <f>O22/(O16+O19)</f>
        <v/>
      </c>
      <c r="P23" s="44">
        <f>P22/(P16+P19)</f>
        <v/>
      </c>
      <c r="Q23" s="44">
        <f>Q22/(Q16+Q19)</f>
        <v/>
      </c>
      <c r="R23" s="44">
        <f>R22/(R16+R19)</f>
        <v/>
      </c>
      <c r="S23" s="44">
        <f>S22/(S16+S19)</f>
        <v/>
      </c>
      <c r="T23" s="44">
        <f>T22/(T16+T19)</f>
        <v/>
      </c>
      <c r="U23" s="44">
        <f>U22/(U16+U19)</f>
        <v/>
      </c>
      <c r="V23" s="44">
        <f>V22/(V16+V19)</f>
        <v/>
      </c>
      <c r="W23" s="44">
        <f>W22/(W16+W19)</f>
        <v/>
      </c>
      <c r="X23" s="44">
        <f>X22/(X16+X19)</f>
        <v/>
      </c>
      <c r="Y23" s="44">
        <f>Y22/(Y16+Y19)</f>
        <v/>
      </c>
      <c r="Z23" s="44">
        <f>Z22/(Z16+Z19)</f>
        <v/>
      </c>
      <c r="AA23" s="44">
        <f>AA22/(AA16+AA19)</f>
        <v/>
      </c>
      <c r="AB23" s="44">
        <f>AB22/(AB16+AB19)</f>
        <v/>
      </c>
      <c r="AC23" s="44">
        <f>AC22/(AC16+AC19)</f>
        <v/>
      </c>
      <c r="AD23" s="44">
        <f>AD22/(AD16+AD19)</f>
        <v/>
      </c>
      <c r="AE23" s="44">
        <f>AE22/(AE16+AE19)</f>
        <v/>
      </c>
      <c r="AF23" s="44">
        <f>AF22/(AF16+AF19)</f>
        <v/>
      </c>
      <c r="AG23" s="44">
        <f>AG22/(AG16+AG19)</f>
        <v/>
      </c>
      <c r="AH23" s="44">
        <f>AH22/(AH16+AH19)</f>
        <v/>
      </c>
      <c r="AI23" s="44">
        <f>AI22/(AI16+AI19)</f>
        <v/>
      </c>
      <c r="AJ23" s="44">
        <f>AJ22/(AJ16+AJ19)</f>
        <v/>
      </c>
      <c r="AK23" s="44">
        <f>AK22/(AK16+AK19)</f>
        <v/>
      </c>
      <c r="AL23" s="44">
        <f>AL22/(AL16+AL19)</f>
        <v/>
      </c>
      <c r="AN23" s="44">
        <f>INDEX($O23:$AL23,1,AN$5*12)</f>
        <v/>
      </c>
      <c r="AO23" s="44">
        <f>INDEX($O23:$AL23,1,AO$5*12)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IS - income statement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Revenue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Subscription - Enterprise</t>
        </is>
      </c>
      <c r="B9" s="2" t="inlineStr">
        <is>
          <t>GBP k</t>
        </is>
      </c>
      <c r="O9" s="19">
        <f>Rev_Rec!O18</f>
        <v/>
      </c>
      <c r="P9" s="19">
        <f>Rev_Rec!P18</f>
        <v/>
      </c>
      <c r="Q9" s="19">
        <f>Rev_Rec!Q18</f>
        <v/>
      </c>
      <c r="R9" s="19">
        <f>Rev_Rec!R18</f>
        <v/>
      </c>
      <c r="S9" s="19">
        <f>Rev_Rec!S18</f>
        <v/>
      </c>
      <c r="T9" s="19">
        <f>Rev_Rec!T18</f>
        <v/>
      </c>
      <c r="U9" s="19">
        <f>Rev_Rec!U18</f>
        <v/>
      </c>
      <c r="V9" s="19">
        <f>Rev_Rec!V18</f>
        <v/>
      </c>
      <c r="W9" s="19">
        <f>Rev_Rec!W18</f>
        <v/>
      </c>
      <c r="X9" s="19">
        <f>Rev_Rec!X18</f>
        <v/>
      </c>
      <c r="Y9" s="19">
        <f>Rev_Rec!Y18</f>
        <v/>
      </c>
      <c r="Z9" s="19">
        <f>Rev_Rec!Z18</f>
        <v/>
      </c>
      <c r="AA9" s="19">
        <f>Rev_Rec!AA18</f>
        <v/>
      </c>
      <c r="AB9" s="19">
        <f>Rev_Rec!AB18</f>
        <v/>
      </c>
      <c r="AC9" s="19">
        <f>Rev_Rec!AC18</f>
        <v/>
      </c>
      <c r="AD9" s="19">
        <f>Rev_Rec!AD18</f>
        <v/>
      </c>
      <c r="AE9" s="19">
        <f>Rev_Rec!AE18</f>
        <v/>
      </c>
      <c r="AF9" s="19">
        <f>Rev_Rec!AF18</f>
        <v/>
      </c>
      <c r="AG9" s="19">
        <f>Rev_Rec!AG18</f>
        <v/>
      </c>
      <c r="AH9" s="19">
        <f>Rev_Rec!AH18</f>
        <v/>
      </c>
      <c r="AI9" s="19">
        <f>Rev_Rec!AI18</f>
        <v/>
      </c>
      <c r="AJ9" s="19">
        <f>Rev_Rec!AJ18</f>
        <v/>
      </c>
      <c r="AK9" s="19">
        <f>Rev_Rec!AK18</f>
        <v/>
      </c>
      <c r="AL9" s="19">
        <f>Rev_Rec!AL18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Subscription - Mid-market</t>
        </is>
      </c>
      <c r="B10" s="2" t="inlineStr">
        <is>
          <t>GBP k</t>
        </is>
      </c>
      <c r="O10" s="19">
        <f>Rev_Rec!O19</f>
        <v/>
      </c>
      <c r="P10" s="19">
        <f>Rev_Rec!P19</f>
        <v/>
      </c>
      <c r="Q10" s="19">
        <f>Rev_Rec!Q19</f>
        <v/>
      </c>
      <c r="R10" s="19">
        <f>Rev_Rec!R19</f>
        <v/>
      </c>
      <c r="S10" s="19">
        <f>Rev_Rec!S19</f>
        <v/>
      </c>
      <c r="T10" s="19">
        <f>Rev_Rec!T19</f>
        <v/>
      </c>
      <c r="U10" s="19">
        <f>Rev_Rec!U19</f>
        <v/>
      </c>
      <c r="V10" s="19">
        <f>Rev_Rec!V19</f>
        <v/>
      </c>
      <c r="W10" s="19">
        <f>Rev_Rec!W19</f>
        <v/>
      </c>
      <c r="X10" s="19">
        <f>Rev_Rec!X19</f>
        <v/>
      </c>
      <c r="Y10" s="19">
        <f>Rev_Rec!Y19</f>
        <v/>
      </c>
      <c r="Z10" s="19">
        <f>Rev_Rec!Z19</f>
        <v/>
      </c>
      <c r="AA10" s="19">
        <f>Rev_Rec!AA19</f>
        <v/>
      </c>
      <c r="AB10" s="19">
        <f>Rev_Rec!AB19</f>
        <v/>
      </c>
      <c r="AC10" s="19">
        <f>Rev_Rec!AC19</f>
        <v/>
      </c>
      <c r="AD10" s="19">
        <f>Rev_Rec!AD19</f>
        <v/>
      </c>
      <c r="AE10" s="19">
        <f>Rev_Rec!AE19</f>
        <v/>
      </c>
      <c r="AF10" s="19">
        <f>Rev_Rec!AF19</f>
        <v/>
      </c>
      <c r="AG10" s="19">
        <f>Rev_Rec!AG19</f>
        <v/>
      </c>
      <c r="AH10" s="19">
        <f>Rev_Rec!AH19</f>
        <v/>
      </c>
      <c r="AI10" s="19">
        <f>Rev_Rec!AI19</f>
        <v/>
      </c>
      <c r="AJ10" s="19">
        <f>Rev_Rec!AJ19</f>
        <v/>
      </c>
      <c r="AK10" s="19">
        <f>Rev_Rec!AK19</f>
        <v/>
      </c>
      <c r="AL10" s="19">
        <f>Rev_Rec!AL19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Implementation</t>
        </is>
      </c>
      <c r="B11" s="2" t="inlineStr">
        <is>
          <t>GBP k</t>
        </is>
      </c>
      <c r="O11" s="19">
        <f>Rev_Rec!O21</f>
        <v/>
      </c>
      <c r="P11" s="19">
        <f>Rev_Rec!P21</f>
        <v/>
      </c>
      <c r="Q11" s="19">
        <f>Rev_Rec!Q21</f>
        <v/>
      </c>
      <c r="R11" s="19">
        <f>Rev_Rec!R21</f>
        <v/>
      </c>
      <c r="S11" s="19">
        <f>Rev_Rec!S21</f>
        <v/>
      </c>
      <c r="T11" s="19">
        <f>Rev_Rec!T21</f>
        <v/>
      </c>
      <c r="U11" s="19">
        <f>Rev_Rec!U21</f>
        <v/>
      </c>
      <c r="V11" s="19">
        <f>Rev_Rec!V21</f>
        <v/>
      </c>
      <c r="W11" s="19">
        <f>Rev_Rec!W21</f>
        <v/>
      </c>
      <c r="X11" s="19">
        <f>Rev_Rec!X21</f>
        <v/>
      </c>
      <c r="Y11" s="19">
        <f>Rev_Rec!Y21</f>
        <v/>
      </c>
      <c r="Z11" s="19">
        <f>Rev_Rec!Z21</f>
        <v/>
      </c>
      <c r="AA11" s="19">
        <f>Rev_Rec!AA21</f>
        <v/>
      </c>
      <c r="AB11" s="19">
        <f>Rev_Rec!AB21</f>
        <v/>
      </c>
      <c r="AC11" s="19">
        <f>Rev_Rec!AC21</f>
        <v/>
      </c>
      <c r="AD11" s="19">
        <f>Rev_Rec!AD21</f>
        <v/>
      </c>
      <c r="AE11" s="19">
        <f>Rev_Rec!AE21</f>
        <v/>
      </c>
      <c r="AF11" s="19">
        <f>Rev_Rec!AF21</f>
        <v/>
      </c>
      <c r="AG11" s="19">
        <f>Rev_Rec!AG21</f>
        <v/>
      </c>
      <c r="AH11" s="19">
        <f>Rev_Rec!AH21</f>
        <v/>
      </c>
      <c r="AI11" s="19">
        <f>Rev_Rec!AI21</f>
        <v/>
      </c>
      <c r="AJ11" s="19">
        <f>Rev_Rec!AJ21</f>
        <v/>
      </c>
      <c r="AK11" s="19">
        <f>Rev_Rec!AK21</f>
        <v/>
      </c>
      <c r="AL11" s="19">
        <f>Rev_Rec!AL21</f>
        <v/>
      </c>
      <c r="AN11" s="36">
        <f>SUMIF($O$5:$AL$5,AN$5,$O11:$AL11)</f>
        <v/>
      </c>
      <c r="AO11" s="36">
        <f>SUMIF($O$5:$AL$5,AO$5,$O11:$AL11)</f>
        <v/>
      </c>
    </row>
    <row r="12">
      <c r="A12" s="37" t="inlineStr">
        <is>
          <t>Total revenue</t>
        </is>
      </c>
      <c r="B12" s="38" t="inlineStr">
        <is>
          <t>GBP k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40">
        <f>SUM(O9:O11)</f>
        <v/>
      </c>
      <c r="P12" s="40">
        <f>SUM(P9:P11)</f>
        <v/>
      </c>
      <c r="Q12" s="40">
        <f>SUM(Q9:Q11)</f>
        <v/>
      </c>
      <c r="R12" s="40">
        <f>SUM(R9:R11)</f>
        <v/>
      </c>
      <c r="S12" s="40">
        <f>SUM(S9:S11)</f>
        <v/>
      </c>
      <c r="T12" s="40">
        <f>SUM(T9:T11)</f>
        <v/>
      </c>
      <c r="U12" s="40">
        <f>SUM(U9:U11)</f>
        <v/>
      </c>
      <c r="V12" s="40">
        <f>SUM(V9:V11)</f>
        <v/>
      </c>
      <c r="W12" s="40">
        <f>SUM(W9:W11)</f>
        <v/>
      </c>
      <c r="X12" s="40">
        <f>SUM(X9:X11)</f>
        <v/>
      </c>
      <c r="Y12" s="40">
        <f>SUM(Y9:Y11)</f>
        <v/>
      </c>
      <c r="Z12" s="40">
        <f>SUM(Z9:Z11)</f>
        <v/>
      </c>
      <c r="AA12" s="40">
        <f>SUM(AA9:AA11)</f>
        <v/>
      </c>
      <c r="AB12" s="40">
        <f>SUM(AB9:AB11)</f>
        <v/>
      </c>
      <c r="AC12" s="40">
        <f>SUM(AC9:AC11)</f>
        <v/>
      </c>
      <c r="AD12" s="40">
        <f>SUM(AD9:AD11)</f>
        <v/>
      </c>
      <c r="AE12" s="40">
        <f>SUM(AE9:AE11)</f>
        <v/>
      </c>
      <c r="AF12" s="40">
        <f>SUM(AF9:AF11)</f>
        <v/>
      </c>
      <c r="AG12" s="40">
        <f>SUM(AG9:AG11)</f>
        <v/>
      </c>
      <c r="AH12" s="40">
        <f>SUM(AH9:AH11)</f>
        <v/>
      </c>
      <c r="AI12" s="40">
        <f>SUM(AI9:AI11)</f>
        <v/>
      </c>
      <c r="AJ12" s="40">
        <f>SUM(AJ9:AJ11)</f>
        <v/>
      </c>
      <c r="AK12" s="40">
        <f>SUM(AK9:AK11)</f>
        <v/>
      </c>
      <c r="AL12" s="40">
        <f>SUM(AL9:AL11)</f>
        <v/>
      </c>
      <c r="AM12" s="39" t="n"/>
      <c r="AN12" s="40">
        <f>SUMIF($O$5:$AL$5,AN$5,$O12:$AL12)</f>
        <v/>
      </c>
      <c r="AO12" s="40">
        <f>SUMIF($O$5:$AL$5,AO$5,$O12:$AL12)</f>
        <v/>
      </c>
    </row>
    <row r="14">
      <c r="A14" s="13" t="inlineStr">
        <is>
          <t>Cost of revenue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5" t="inlineStr">
        <is>
          <t>Hosting</t>
        </is>
      </c>
      <c r="B15" s="2" t="inlineStr">
        <is>
          <t>GBP k</t>
        </is>
      </c>
      <c r="O15" s="19">
        <f>COGS!O9</f>
        <v/>
      </c>
      <c r="P15" s="19">
        <f>COGS!P9</f>
        <v/>
      </c>
      <c r="Q15" s="19">
        <f>COGS!Q9</f>
        <v/>
      </c>
      <c r="R15" s="19">
        <f>COGS!R9</f>
        <v/>
      </c>
      <c r="S15" s="19">
        <f>COGS!S9</f>
        <v/>
      </c>
      <c r="T15" s="19">
        <f>COGS!T9</f>
        <v/>
      </c>
      <c r="U15" s="19">
        <f>COGS!U9</f>
        <v/>
      </c>
      <c r="V15" s="19">
        <f>COGS!V9</f>
        <v/>
      </c>
      <c r="W15" s="19">
        <f>COGS!W9</f>
        <v/>
      </c>
      <c r="X15" s="19">
        <f>COGS!X9</f>
        <v/>
      </c>
      <c r="Y15" s="19">
        <f>COGS!Y9</f>
        <v/>
      </c>
      <c r="Z15" s="19">
        <f>COGS!Z9</f>
        <v/>
      </c>
      <c r="AA15" s="19">
        <f>COGS!AA9</f>
        <v/>
      </c>
      <c r="AB15" s="19">
        <f>COGS!AB9</f>
        <v/>
      </c>
      <c r="AC15" s="19">
        <f>COGS!AC9</f>
        <v/>
      </c>
      <c r="AD15" s="19">
        <f>COGS!AD9</f>
        <v/>
      </c>
      <c r="AE15" s="19">
        <f>COGS!AE9</f>
        <v/>
      </c>
      <c r="AF15" s="19">
        <f>COGS!AF9</f>
        <v/>
      </c>
      <c r="AG15" s="19">
        <f>COGS!AG9</f>
        <v/>
      </c>
      <c r="AH15" s="19">
        <f>COGS!AH9</f>
        <v/>
      </c>
      <c r="AI15" s="19">
        <f>COGS!AI9</f>
        <v/>
      </c>
      <c r="AJ15" s="19">
        <f>COGS!AJ9</f>
        <v/>
      </c>
      <c r="AK15" s="19">
        <f>COGS!AK9</f>
        <v/>
      </c>
      <c r="AL15" s="19">
        <f>COGS!AL9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Third-party licences</t>
        </is>
      </c>
      <c r="B16" s="2" t="inlineStr">
        <is>
          <t>GBP k</t>
        </is>
      </c>
      <c r="O16" s="19">
        <f>COGS!O10</f>
        <v/>
      </c>
      <c r="P16" s="19">
        <f>COGS!P10</f>
        <v/>
      </c>
      <c r="Q16" s="19">
        <f>COGS!Q10</f>
        <v/>
      </c>
      <c r="R16" s="19">
        <f>COGS!R10</f>
        <v/>
      </c>
      <c r="S16" s="19">
        <f>COGS!S10</f>
        <v/>
      </c>
      <c r="T16" s="19">
        <f>COGS!T10</f>
        <v/>
      </c>
      <c r="U16" s="19">
        <f>COGS!U10</f>
        <v/>
      </c>
      <c r="V16" s="19">
        <f>COGS!V10</f>
        <v/>
      </c>
      <c r="W16" s="19">
        <f>COGS!W10</f>
        <v/>
      </c>
      <c r="X16" s="19">
        <f>COGS!X10</f>
        <v/>
      </c>
      <c r="Y16" s="19">
        <f>COGS!Y10</f>
        <v/>
      </c>
      <c r="Z16" s="19">
        <f>COGS!Z10</f>
        <v/>
      </c>
      <c r="AA16" s="19">
        <f>COGS!AA10</f>
        <v/>
      </c>
      <c r="AB16" s="19">
        <f>COGS!AB10</f>
        <v/>
      </c>
      <c r="AC16" s="19">
        <f>COGS!AC10</f>
        <v/>
      </c>
      <c r="AD16" s="19">
        <f>COGS!AD10</f>
        <v/>
      </c>
      <c r="AE16" s="19">
        <f>COGS!AE10</f>
        <v/>
      </c>
      <c r="AF16" s="19">
        <f>COGS!AF10</f>
        <v/>
      </c>
      <c r="AG16" s="19">
        <f>COGS!AG10</f>
        <v/>
      </c>
      <c r="AH16" s="19">
        <f>COGS!AH10</f>
        <v/>
      </c>
      <c r="AI16" s="19">
        <f>COGS!AI10</f>
        <v/>
      </c>
      <c r="AJ16" s="19">
        <f>COGS!AJ10</f>
        <v/>
      </c>
      <c r="AK16" s="19">
        <f>COGS!AK10</f>
        <v/>
      </c>
      <c r="AL16" s="19">
        <f>COGS!AL10</f>
        <v/>
      </c>
      <c r="AN16" s="36">
        <f>SUMIF($O$5:$AL$5,AN$5,$O16:$AL16)</f>
        <v/>
      </c>
      <c r="AO16" s="36">
        <f>SUMIF($O$5:$AL$5,AO$5,$O16:$AL16)</f>
        <v/>
      </c>
    </row>
    <row r="17">
      <c r="A17" s="5" t="inlineStr">
        <is>
          <t>Customer Success</t>
        </is>
      </c>
      <c r="B17" s="2" t="inlineStr">
        <is>
          <t>GBP k</t>
        </is>
      </c>
      <c r="O17" s="19">
        <f>COGS!O11</f>
        <v/>
      </c>
      <c r="P17" s="19">
        <f>COGS!P11</f>
        <v/>
      </c>
      <c r="Q17" s="19">
        <f>COGS!Q11</f>
        <v/>
      </c>
      <c r="R17" s="19">
        <f>COGS!R11</f>
        <v/>
      </c>
      <c r="S17" s="19">
        <f>COGS!S11</f>
        <v/>
      </c>
      <c r="T17" s="19">
        <f>COGS!T11</f>
        <v/>
      </c>
      <c r="U17" s="19">
        <f>COGS!U11</f>
        <v/>
      </c>
      <c r="V17" s="19">
        <f>COGS!V11</f>
        <v/>
      </c>
      <c r="W17" s="19">
        <f>COGS!W11</f>
        <v/>
      </c>
      <c r="X17" s="19">
        <f>COGS!X11</f>
        <v/>
      </c>
      <c r="Y17" s="19">
        <f>COGS!Y11</f>
        <v/>
      </c>
      <c r="Z17" s="19">
        <f>COGS!Z11</f>
        <v/>
      </c>
      <c r="AA17" s="19">
        <f>COGS!AA11</f>
        <v/>
      </c>
      <c r="AB17" s="19">
        <f>COGS!AB11</f>
        <v/>
      </c>
      <c r="AC17" s="19">
        <f>COGS!AC11</f>
        <v/>
      </c>
      <c r="AD17" s="19">
        <f>COGS!AD11</f>
        <v/>
      </c>
      <c r="AE17" s="19">
        <f>COGS!AE11</f>
        <v/>
      </c>
      <c r="AF17" s="19">
        <f>COGS!AF11</f>
        <v/>
      </c>
      <c r="AG17" s="19">
        <f>COGS!AG11</f>
        <v/>
      </c>
      <c r="AH17" s="19">
        <f>COGS!AH11</f>
        <v/>
      </c>
      <c r="AI17" s="19">
        <f>COGS!AI11</f>
        <v/>
      </c>
      <c r="AJ17" s="19">
        <f>COGS!AJ11</f>
        <v/>
      </c>
      <c r="AK17" s="19">
        <f>COGS!AK11</f>
        <v/>
      </c>
      <c r="AL17" s="19">
        <f>COGS!AL11</f>
        <v/>
      </c>
      <c r="AN17" s="36">
        <f>SUMIF($O$5:$AL$5,AN$5,$O17:$AL17)</f>
        <v/>
      </c>
      <c r="AO17" s="36">
        <f>SUMIF($O$5:$AL$5,AO$5,$O17:$AL17)</f>
        <v/>
      </c>
    </row>
    <row r="18">
      <c r="A18" s="5" t="inlineStr">
        <is>
          <t>Implementation delivery</t>
        </is>
      </c>
      <c r="B18" s="2" t="inlineStr">
        <is>
          <t>GBP k</t>
        </is>
      </c>
      <c r="O18" s="19">
        <f>COGS!O12</f>
        <v/>
      </c>
      <c r="P18" s="19">
        <f>COGS!P12</f>
        <v/>
      </c>
      <c r="Q18" s="19">
        <f>COGS!Q12</f>
        <v/>
      </c>
      <c r="R18" s="19">
        <f>COGS!R12</f>
        <v/>
      </c>
      <c r="S18" s="19">
        <f>COGS!S12</f>
        <v/>
      </c>
      <c r="T18" s="19">
        <f>COGS!T12</f>
        <v/>
      </c>
      <c r="U18" s="19">
        <f>COGS!U12</f>
        <v/>
      </c>
      <c r="V18" s="19">
        <f>COGS!V12</f>
        <v/>
      </c>
      <c r="W18" s="19">
        <f>COGS!W12</f>
        <v/>
      </c>
      <c r="X18" s="19">
        <f>COGS!X12</f>
        <v/>
      </c>
      <c r="Y18" s="19">
        <f>COGS!Y12</f>
        <v/>
      </c>
      <c r="Z18" s="19">
        <f>COGS!Z12</f>
        <v/>
      </c>
      <c r="AA18" s="19">
        <f>COGS!AA12</f>
        <v/>
      </c>
      <c r="AB18" s="19">
        <f>COGS!AB12</f>
        <v/>
      </c>
      <c r="AC18" s="19">
        <f>COGS!AC12</f>
        <v/>
      </c>
      <c r="AD18" s="19">
        <f>COGS!AD12</f>
        <v/>
      </c>
      <c r="AE18" s="19">
        <f>COGS!AE12</f>
        <v/>
      </c>
      <c r="AF18" s="19">
        <f>COGS!AF12</f>
        <v/>
      </c>
      <c r="AG18" s="19">
        <f>COGS!AG12</f>
        <v/>
      </c>
      <c r="AH18" s="19">
        <f>COGS!AH12</f>
        <v/>
      </c>
      <c r="AI18" s="19">
        <f>COGS!AI12</f>
        <v/>
      </c>
      <c r="AJ18" s="19">
        <f>COGS!AJ12</f>
        <v/>
      </c>
      <c r="AK18" s="19">
        <f>COGS!AK12</f>
        <v/>
      </c>
      <c r="AL18" s="19">
        <f>COGS!AL12</f>
        <v/>
      </c>
      <c r="AN18" s="36">
        <f>SUMIF($O$5:$AL$5,AN$5,$O18:$AL18)</f>
        <v/>
      </c>
      <c r="AO18" s="36">
        <f>SUMIF($O$5:$AL$5,AO$5,$O18:$AL18)</f>
        <v/>
      </c>
    </row>
    <row r="19">
      <c r="A19" s="37" t="inlineStr">
        <is>
          <t>Total cost of revenue</t>
        </is>
      </c>
      <c r="B19" s="38" t="inlineStr">
        <is>
          <t>GBP k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40">
        <f>SUM(O15:O18)</f>
        <v/>
      </c>
      <c r="P19" s="40">
        <f>SUM(P15:P18)</f>
        <v/>
      </c>
      <c r="Q19" s="40">
        <f>SUM(Q15:Q18)</f>
        <v/>
      </c>
      <c r="R19" s="40">
        <f>SUM(R15:R18)</f>
        <v/>
      </c>
      <c r="S19" s="40">
        <f>SUM(S15:S18)</f>
        <v/>
      </c>
      <c r="T19" s="40">
        <f>SUM(T15:T18)</f>
        <v/>
      </c>
      <c r="U19" s="40">
        <f>SUM(U15:U18)</f>
        <v/>
      </c>
      <c r="V19" s="40">
        <f>SUM(V15:V18)</f>
        <v/>
      </c>
      <c r="W19" s="40">
        <f>SUM(W15:W18)</f>
        <v/>
      </c>
      <c r="X19" s="40">
        <f>SUM(X15:X18)</f>
        <v/>
      </c>
      <c r="Y19" s="40">
        <f>SUM(Y15:Y18)</f>
        <v/>
      </c>
      <c r="Z19" s="40">
        <f>SUM(Z15:Z18)</f>
        <v/>
      </c>
      <c r="AA19" s="40">
        <f>SUM(AA15:AA18)</f>
        <v/>
      </c>
      <c r="AB19" s="40">
        <f>SUM(AB15:AB18)</f>
        <v/>
      </c>
      <c r="AC19" s="40">
        <f>SUM(AC15:AC18)</f>
        <v/>
      </c>
      <c r="AD19" s="40">
        <f>SUM(AD15:AD18)</f>
        <v/>
      </c>
      <c r="AE19" s="40">
        <f>SUM(AE15:AE18)</f>
        <v/>
      </c>
      <c r="AF19" s="40">
        <f>SUM(AF15:AF18)</f>
        <v/>
      </c>
      <c r="AG19" s="40">
        <f>SUM(AG15:AG18)</f>
        <v/>
      </c>
      <c r="AH19" s="40">
        <f>SUM(AH15:AH18)</f>
        <v/>
      </c>
      <c r="AI19" s="40">
        <f>SUM(AI15:AI18)</f>
        <v/>
      </c>
      <c r="AJ19" s="40">
        <f>SUM(AJ15:AJ18)</f>
        <v/>
      </c>
      <c r="AK19" s="40">
        <f>SUM(AK15:AK18)</f>
        <v/>
      </c>
      <c r="AL19" s="40">
        <f>SUM(AL15:AL18)</f>
        <v/>
      </c>
      <c r="AM19" s="39" t="n"/>
      <c r="AN19" s="40">
        <f>SUMIF($O$5:$AL$5,AN$5,$O19:$AL19)</f>
        <v/>
      </c>
      <c r="AO19" s="40">
        <f>SUMIF($O$5:$AL$5,AO$5,$O19:$AL19)</f>
        <v/>
      </c>
    </row>
    <row r="20">
      <c r="A20" s="3" t="inlineStr">
        <is>
          <t>Gross profit</t>
        </is>
      </c>
      <c r="B20" s="2" t="inlineStr">
        <is>
          <t>GBP k</t>
        </is>
      </c>
      <c r="O20" s="42">
        <f>O12-O19</f>
        <v/>
      </c>
      <c r="P20" s="42">
        <f>P12-P19</f>
        <v/>
      </c>
      <c r="Q20" s="42">
        <f>Q12-Q19</f>
        <v/>
      </c>
      <c r="R20" s="42">
        <f>R12-R19</f>
        <v/>
      </c>
      <c r="S20" s="42">
        <f>S12-S19</f>
        <v/>
      </c>
      <c r="T20" s="42">
        <f>T12-T19</f>
        <v/>
      </c>
      <c r="U20" s="42">
        <f>U12-U19</f>
        <v/>
      </c>
      <c r="V20" s="42">
        <f>V12-V19</f>
        <v/>
      </c>
      <c r="W20" s="42">
        <f>W12-W19</f>
        <v/>
      </c>
      <c r="X20" s="42">
        <f>X12-X19</f>
        <v/>
      </c>
      <c r="Y20" s="42">
        <f>Y12-Y19</f>
        <v/>
      </c>
      <c r="Z20" s="42">
        <f>Z12-Z19</f>
        <v/>
      </c>
      <c r="AA20" s="42">
        <f>AA12-AA19</f>
        <v/>
      </c>
      <c r="AB20" s="42">
        <f>AB12-AB19</f>
        <v/>
      </c>
      <c r="AC20" s="42">
        <f>AC12-AC19</f>
        <v/>
      </c>
      <c r="AD20" s="42">
        <f>AD12-AD19</f>
        <v/>
      </c>
      <c r="AE20" s="42">
        <f>AE12-AE19</f>
        <v/>
      </c>
      <c r="AF20" s="42">
        <f>AF12-AF19</f>
        <v/>
      </c>
      <c r="AG20" s="42">
        <f>AG12-AG19</f>
        <v/>
      </c>
      <c r="AH20" s="42">
        <f>AH12-AH19</f>
        <v/>
      </c>
      <c r="AI20" s="42">
        <f>AI12-AI19</f>
        <v/>
      </c>
      <c r="AJ20" s="42">
        <f>AJ12-AJ19</f>
        <v/>
      </c>
      <c r="AK20" s="42">
        <f>AK12-AK19</f>
        <v/>
      </c>
      <c r="AL20" s="42">
        <f>AL12-AL19</f>
        <v/>
      </c>
      <c r="AN20" s="42">
        <f>SUMIF($O$5:$AL$5,AN$5,$O20:$AL20)</f>
        <v/>
      </c>
      <c r="AO20" s="42">
        <f>SUMIF($O$5:$AL$5,AO$5,$O20:$AL20)</f>
        <v/>
      </c>
    </row>
    <row r="21">
      <c r="A21" s="5" t="inlineStr">
        <is>
          <t>Gross margin</t>
        </is>
      </c>
      <c r="B21" s="2" t="inlineStr">
        <is>
          <t>%</t>
        </is>
      </c>
      <c r="O21" s="35">
        <f>O20/O12</f>
        <v/>
      </c>
      <c r="P21" s="35">
        <f>P20/P12</f>
        <v/>
      </c>
      <c r="Q21" s="35">
        <f>Q20/Q12</f>
        <v/>
      </c>
      <c r="R21" s="35">
        <f>R20/R12</f>
        <v/>
      </c>
      <c r="S21" s="35">
        <f>S20/S12</f>
        <v/>
      </c>
      <c r="T21" s="35">
        <f>T20/T12</f>
        <v/>
      </c>
      <c r="U21" s="35">
        <f>U20/U12</f>
        <v/>
      </c>
      <c r="V21" s="35">
        <f>V20/V12</f>
        <v/>
      </c>
      <c r="W21" s="35">
        <f>W20/W12</f>
        <v/>
      </c>
      <c r="X21" s="35">
        <f>X20/X12</f>
        <v/>
      </c>
      <c r="Y21" s="35">
        <f>Y20/Y12</f>
        <v/>
      </c>
      <c r="Z21" s="35">
        <f>Z20/Z12</f>
        <v/>
      </c>
      <c r="AA21" s="35">
        <f>AA20/AA12</f>
        <v/>
      </c>
      <c r="AB21" s="35">
        <f>AB20/AB12</f>
        <v/>
      </c>
      <c r="AC21" s="35">
        <f>AC20/AC12</f>
        <v/>
      </c>
      <c r="AD21" s="35">
        <f>AD20/AD12</f>
        <v/>
      </c>
      <c r="AE21" s="35">
        <f>AE20/AE12</f>
        <v/>
      </c>
      <c r="AF21" s="35">
        <f>AF20/AF12</f>
        <v/>
      </c>
      <c r="AG21" s="35">
        <f>AG20/AG12</f>
        <v/>
      </c>
      <c r="AH21" s="35">
        <f>AH20/AH12</f>
        <v/>
      </c>
      <c r="AI21" s="35">
        <f>AI20/AI12</f>
        <v/>
      </c>
      <c r="AJ21" s="35">
        <f>AJ20/AJ12</f>
        <v/>
      </c>
      <c r="AK21" s="35">
        <f>AK20/AK12</f>
        <v/>
      </c>
      <c r="AL21" s="35">
        <f>AL20/AL12</f>
        <v/>
      </c>
      <c r="AN21" s="35">
        <f>AN20/AN12</f>
        <v/>
      </c>
      <c r="AO21" s="35">
        <f>AO20/AO12</f>
        <v/>
      </c>
    </row>
    <row r="23">
      <c r="A23" s="13" t="inlineStr">
        <is>
          <t>Operating expense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5" t="inlineStr">
        <is>
          <t>Research &amp; development</t>
        </is>
      </c>
      <c r="B24" s="2" t="inlineStr">
        <is>
          <t>GBP k</t>
        </is>
      </c>
      <c r="O24" s="19">
        <f>Headcount_Opex!O43</f>
        <v/>
      </c>
      <c r="P24" s="19">
        <f>Headcount_Opex!P43</f>
        <v/>
      </c>
      <c r="Q24" s="19">
        <f>Headcount_Opex!Q43</f>
        <v/>
      </c>
      <c r="R24" s="19">
        <f>Headcount_Opex!R43</f>
        <v/>
      </c>
      <c r="S24" s="19">
        <f>Headcount_Opex!S43</f>
        <v/>
      </c>
      <c r="T24" s="19">
        <f>Headcount_Opex!T43</f>
        <v/>
      </c>
      <c r="U24" s="19">
        <f>Headcount_Opex!U43</f>
        <v/>
      </c>
      <c r="V24" s="19">
        <f>Headcount_Opex!V43</f>
        <v/>
      </c>
      <c r="W24" s="19">
        <f>Headcount_Opex!W43</f>
        <v/>
      </c>
      <c r="X24" s="19">
        <f>Headcount_Opex!X43</f>
        <v/>
      </c>
      <c r="Y24" s="19">
        <f>Headcount_Opex!Y43</f>
        <v/>
      </c>
      <c r="Z24" s="19">
        <f>Headcount_Opex!Z43</f>
        <v/>
      </c>
      <c r="AA24" s="19">
        <f>Headcount_Opex!AA43</f>
        <v/>
      </c>
      <c r="AB24" s="19">
        <f>Headcount_Opex!AB43</f>
        <v/>
      </c>
      <c r="AC24" s="19">
        <f>Headcount_Opex!AC43</f>
        <v/>
      </c>
      <c r="AD24" s="19">
        <f>Headcount_Opex!AD43</f>
        <v/>
      </c>
      <c r="AE24" s="19">
        <f>Headcount_Opex!AE43</f>
        <v/>
      </c>
      <c r="AF24" s="19">
        <f>Headcount_Opex!AF43</f>
        <v/>
      </c>
      <c r="AG24" s="19">
        <f>Headcount_Opex!AG43</f>
        <v/>
      </c>
      <c r="AH24" s="19">
        <f>Headcount_Opex!AH43</f>
        <v/>
      </c>
      <c r="AI24" s="19">
        <f>Headcount_Opex!AI43</f>
        <v/>
      </c>
      <c r="AJ24" s="19">
        <f>Headcount_Opex!AJ43</f>
        <v/>
      </c>
      <c r="AK24" s="19">
        <f>Headcount_Opex!AK43</f>
        <v/>
      </c>
      <c r="AL24" s="19">
        <f>Headcount_Opex!AL43</f>
        <v/>
      </c>
      <c r="AN24" s="36">
        <f>SUMIF($O$5:$AL$5,AN$5,$O24:$AL24)</f>
        <v/>
      </c>
      <c r="AO24" s="36">
        <f>SUMIF($O$5:$AL$5,AO$5,$O24:$AL24)</f>
        <v/>
      </c>
    </row>
    <row r="25">
      <c r="A25" s="5" t="inlineStr">
        <is>
          <t>Sales &amp; marketing</t>
        </is>
      </c>
      <c r="B25" s="2" t="inlineStr">
        <is>
          <t>GBP k</t>
        </is>
      </c>
      <c r="O25" s="19">
        <f>Headcount_Opex!O44</f>
        <v/>
      </c>
      <c r="P25" s="19">
        <f>Headcount_Opex!P44</f>
        <v/>
      </c>
      <c r="Q25" s="19">
        <f>Headcount_Opex!Q44</f>
        <v/>
      </c>
      <c r="R25" s="19">
        <f>Headcount_Opex!R44</f>
        <v/>
      </c>
      <c r="S25" s="19">
        <f>Headcount_Opex!S44</f>
        <v/>
      </c>
      <c r="T25" s="19">
        <f>Headcount_Opex!T44</f>
        <v/>
      </c>
      <c r="U25" s="19">
        <f>Headcount_Opex!U44</f>
        <v/>
      </c>
      <c r="V25" s="19">
        <f>Headcount_Opex!V44</f>
        <v/>
      </c>
      <c r="W25" s="19">
        <f>Headcount_Opex!W44</f>
        <v/>
      </c>
      <c r="X25" s="19">
        <f>Headcount_Opex!X44</f>
        <v/>
      </c>
      <c r="Y25" s="19">
        <f>Headcount_Opex!Y44</f>
        <v/>
      </c>
      <c r="Z25" s="19">
        <f>Headcount_Opex!Z44</f>
        <v/>
      </c>
      <c r="AA25" s="19">
        <f>Headcount_Opex!AA44</f>
        <v/>
      </c>
      <c r="AB25" s="19">
        <f>Headcount_Opex!AB44</f>
        <v/>
      </c>
      <c r="AC25" s="19">
        <f>Headcount_Opex!AC44</f>
        <v/>
      </c>
      <c r="AD25" s="19">
        <f>Headcount_Opex!AD44</f>
        <v/>
      </c>
      <c r="AE25" s="19">
        <f>Headcount_Opex!AE44</f>
        <v/>
      </c>
      <c r="AF25" s="19">
        <f>Headcount_Opex!AF44</f>
        <v/>
      </c>
      <c r="AG25" s="19">
        <f>Headcount_Opex!AG44</f>
        <v/>
      </c>
      <c r="AH25" s="19">
        <f>Headcount_Opex!AH44</f>
        <v/>
      </c>
      <c r="AI25" s="19">
        <f>Headcount_Opex!AI44</f>
        <v/>
      </c>
      <c r="AJ25" s="19">
        <f>Headcount_Opex!AJ44</f>
        <v/>
      </c>
      <c r="AK25" s="19">
        <f>Headcount_Opex!AK44</f>
        <v/>
      </c>
      <c r="AL25" s="19">
        <f>Headcount_Opex!AL44</f>
        <v/>
      </c>
      <c r="AN25" s="36">
        <f>SUMIF($O$5:$AL$5,AN$5,$O25:$AL25)</f>
        <v/>
      </c>
      <c r="AO25" s="36">
        <f>SUMIF($O$5:$AL$5,AO$5,$O25:$AL25)</f>
        <v/>
      </c>
    </row>
    <row r="26">
      <c r="A26" s="5" t="inlineStr">
        <is>
          <t>General &amp; administrative</t>
        </is>
      </c>
      <c r="B26" s="2" t="inlineStr">
        <is>
          <t>GBP k</t>
        </is>
      </c>
      <c r="O26" s="19">
        <f>Headcount_Opex!O45</f>
        <v/>
      </c>
      <c r="P26" s="19">
        <f>Headcount_Opex!P45</f>
        <v/>
      </c>
      <c r="Q26" s="19">
        <f>Headcount_Opex!Q45</f>
        <v/>
      </c>
      <c r="R26" s="19">
        <f>Headcount_Opex!R45</f>
        <v/>
      </c>
      <c r="S26" s="19">
        <f>Headcount_Opex!S45</f>
        <v/>
      </c>
      <c r="T26" s="19">
        <f>Headcount_Opex!T45</f>
        <v/>
      </c>
      <c r="U26" s="19">
        <f>Headcount_Opex!U45</f>
        <v/>
      </c>
      <c r="V26" s="19">
        <f>Headcount_Opex!V45</f>
        <v/>
      </c>
      <c r="W26" s="19">
        <f>Headcount_Opex!W45</f>
        <v/>
      </c>
      <c r="X26" s="19">
        <f>Headcount_Opex!X45</f>
        <v/>
      </c>
      <c r="Y26" s="19">
        <f>Headcount_Opex!Y45</f>
        <v/>
      </c>
      <c r="Z26" s="19">
        <f>Headcount_Opex!Z45</f>
        <v/>
      </c>
      <c r="AA26" s="19">
        <f>Headcount_Opex!AA45</f>
        <v/>
      </c>
      <c r="AB26" s="19">
        <f>Headcount_Opex!AB45</f>
        <v/>
      </c>
      <c r="AC26" s="19">
        <f>Headcount_Opex!AC45</f>
        <v/>
      </c>
      <c r="AD26" s="19">
        <f>Headcount_Opex!AD45</f>
        <v/>
      </c>
      <c r="AE26" s="19">
        <f>Headcount_Opex!AE45</f>
        <v/>
      </c>
      <c r="AF26" s="19">
        <f>Headcount_Opex!AF45</f>
        <v/>
      </c>
      <c r="AG26" s="19">
        <f>Headcount_Opex!AG45</f>
        <v/>
      </c>
      <c r="AH26" s="19">
        <f>Headcount_Opex!AH45</f>
        <v/>
      </c>
      <c r="AI26" s="19">
        <f>Headcount_Opex!AI45</f>
        <v/>
      </c>
      <c r="AJ26" s="19">
        <f>Headcount_Opex!AJ45</f>
        <v/>
      </c>
      <c r="AK26" s="19">
        <f>Headcount_Opex!AK45</f>
        <v/>
      </c>
      <c r="AL26" s="19">
        <f>Headcount_Opex!AL45</f>
        <v/>
      </c>
      <c r="AN26" s="36">
        <f>SUMIF($O$5:$AL$5,AN$5,$O26:$AL26)</f>
        <v/>
      </c>
      <c r="AO26" s="36">
        <f>SUMIF($O$5:$AL$5,AO$5,$O26:$AL26)</f>
        <v/>
      </c>
    </row>
    <row r="27">
      <c r="A27" s="37" t="inlineStr">
        <is>
          <t>Total operating expense</t>
        </is>
      </c>
      <c r="B27" s="38" t="inlineStr">
        <is>
          <t>GBP k</t>
        </is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40">
        <f>SUM(O24:O26)</f>
        <v/>
      </c>
      <c r="P27" s="40">
        <f>SUM(P24:P26)</f>
        <v/>
      </c>
      <c r="Q27" s="40">
        <f>SUM(Q24:Q26)</f>
        <v/>
      </c>
      <c r="R27" s="40">
        <f>SUM(R24:R26)</f>
        <v/>
      </c>
      <c r="S27" s="40">
        <f>SUM(S24:S26)</f>
        <v/>
      </c>
      <c r="T27" s="40">
        <f>SUM(T24:T26)</f>
        <v/>
      </c>
      <c r="U27" s="40">
        <f>SUM(U24:U26)</f>
        <v/>
      </c>
      <c r="V27" s="40">
        <f>SUM(V24:V26)</f>
        <v/>
      </c>
      <c r="W27" s="40">
        <f>SUM(W24:W26)</f>
        <v/>
      </c>
      <c r="X27" s="40">
        <f>SUM(X24:X26)</f>
        <v/>
      </c>
      <c r="Y27" s="40">
        <f>SUM(Y24:Y26)</f>
        <v/>
      </c>
      <c r="Z27" s="40">
        <f>SUM(Z24:Z26)</f>
        <v/>
      </c>
      <c r="AA27" s="40">
        <f>SUM(AA24:AA26)</f>
        <v/>
      </c>
      <c r="AB27" s="40">
        <f>SUM(AB24:AB26)</f>
        <v/>
      </c>
      <c r="AC27" s="40">
        <f>SUM(AC24:AC26)</f>
        <v/>
      </c>
      <c r="AD27" s="40">
        <f>SUM(AD24:AD26)</f>
        <v/>
      </c>
      <c r="AE27" s="40">
        <f>SUM(AE24:AE26)</f>
        <v/>
      </c>
      <c r="AF27" s="40">
        <f>SUM(AF24:AF26)</f>
        <v/>
      </c>
      <c r="AG27" s="40">
        <f>SUM(AG24:AG26)</f>
        <v/>
      </c>
      <c r="AH27" s="40">
        <f>SUM(AH24:AH26)</f>
        <v/>
      </c>
      <c r="AI27" s="40">
        <f>SUM(AI24:AI26)</f>
        <v/>
      </c>
      <c r="AJ27" s="40">
        <f>SUM(AJ24:AJ26)</f>
        <v/>
      </c>
      <c r="AK27" s="40">
        <f>SUM(AK24:AK26)</f>
        <v/>
      </c>
      <c r="AL27" s="40">
        <f>SUM(AL24:AL26)</f>
        <v/>
      </c>
      <c r="AM27" s="39" t="n"/>
      <c r="AN27" s="40">
        <f>SUMIF($O$5:$AL$5,AN$5,$O27:$AL27)</f>
        <v/>
      </c>
      <c r="AO27" s="40">
        <f>SUMIF($O$5:$AL$5,AO$5,$O27:$AL27)</f>
        <v/>
      </c>
    </row>
    <row r="29">
      <c r="A29" s="3" t="inlineStr">
        <is>
          <t>EBITDA</t>
        </is>
      </c>
      <c r="B29" s="2" t="inlineStr">
        <is>
          <t>GBP k</t>
        </is>
      </c>
      <c r="O29" s="42">
        <f>O20-O27</f>
        <v/>
      </c>
      <c r="P29" s="42">
        <f>P20-P27</f>
        <v/>
      </c>
      <c r="Q29" s="42">
        <f>Q20-Q27</f>
        <v/>
      </c>
      <c r="R29" s="42">
        <f>R20-R27</f>
        <v/>
      </c>
      <c r="S29" s="42">
        <f>S20-S27</f>
        <v/>
      </c>
      <c r="T29" s="42">
        <f>T20-T27</f>
        <v/>
      </c>
      <c r="U29" s="42">
        <f>U20-U27</f>
        <v/>
      </c>
      <c r="V29" s="42">
        <f>V20-V27</f>
        <v/>
      </c>
      <c r="W29" s="42">
        <f>W20-W27</f>
        <v/>
      </c>
      <c r="X29" s="42">
        <f>X20-X27</f>
        <v/>
      </c>
      <c r="Y29" s="42">
        <f>Y20-Y27</f>
        <v/>
      </c>
      <c r="Z29" s="42">
        <f>Z20-Z27</f>
        <v/>
      </c>
      <c r="AA29" s="42">
        <f>AA20-AA27</f>
        <v/>
      </c>
      <c r="AB29" s="42">
        <f>AB20-AB27</f>
        <v/>
      </c>
      <c r="AC29" s="42">
        <f>AC20-AC27</f>
        <v/>
      </c>
      <c r="AD29" s="42">
        <f>AD20-AD27</f>
        <v/>
      </c>
      <c r="AE29" s="42">
        <f>AE20-AE27</f>
        <v/>
      </c>
      <c r="AF29" s="42">
        <f>AF20-AF27</f>
        <v/>
      </c>
      <c r="AG29" s="42">
        <f>AG20-AG27</f>
        <v/>
      </c>
      <c r="AH29" s="42">
        <f>AH20-AH27</f>
        <v/>
      </c>
      <c r="AI29" s="42">
        <f>AI20-AI27</f>
        <v/>
      </c>
      <c r="AJ29" s="42">
        <f>AJ20-AJ27</f>
        <v/>
      </c>
      <c r="AK29" s="42">
        <f>AK20-AK27</f>
        <v/>
      </c>
      <c r="AL29" s="42">
        <f>AL20-AL27</f>
        <v/>
      </c>
      <c r="AN29" s="42">
        <f>SUMIF($O$5:$AL$5,AN$5,$O29:$AL29)</f>
        <v/>
      </c>
      <c r="AO29" s="42">
        <f>SUMIF($O$5:$AL$5,AO$5,$O29:$AL29)</f>
        <v/>
      </c>
    </row>
    <row r="30">
      <c r="A30" s="5" t="inlineStr">
        <is>
          <t>EBITDA margin</t>
        </is>
      </c>
      <c r="B30" s="2" t="inlineStr">
        <is>
          <t>%</t>
        </is>
      </c>
      <c r="O30" s="35">
        <f>O29/O12</f>
        <v/>
      </c>
      <c r="P30" s="35">
        <f>P29/P12</f>
        <v/>
      </c>
      <c r="Q30" s="35">
        <f>Q29/Q12</f>
        <v/>
      </c>
      <c r="R30" s="35">
        <f>R29/R12</f>
        <v/>
      </c>
      <c r="S30" s="35">
        <f>S29/S12</f>
        <v/>
      </c>
      <c r="T30" s="35">
        <f>T29/T12</f>
        <v/>
      </c>
      <c r="U30" s="35">
        <f>U29/U12</f>
        <v/>
      </c>
      <c r="V30" s="35">
        <f>V29/V12</f>
        <v/>
      </c>
      <c r="W30" s="35">
        <f>W29/W12</f>
        <v/>
      </c>
      <c r="X30" s="35">
        <f>X29/X12</f>
        <v/>
      </c>
      <c r="Y30" s="35">
        <f>Y29/Y12</f>
        <v/>
      </c>
      <c r="Z30" s="35">
        <f>Z29/Z12</f>
        <v/>
      </c>
      <c r="AA30" s="35">
        <f>AA29/AA12</f>
        <v/>
      </c>
      <c r="AB30" s="35">
        <f>AB29/AB12</f>
        <v/>
      </c>
      <c r="AC30" s="35">
        <f>AC29/AC12</f>
        <v/>
      </c>
      <c r="AD30" s="35">
        <f>AD29/AD12</f>
        <v/>
      </c>
      <c r="AE30" s="35">
        <f>AE29/AE12</f>
        <v/>
      </c>
      <c r="AF30" s="35">
        <f>AF29/AF12</f>
        <v/>
      </c>
      <c r="AG30" s="35">
        <f>AG29/AG12</f>
        <v/>
      </c>
      <c r="AH30" s="35">
        <f>AH29/AH12</f>
        <v/>
      </c>
      <c r="AI30" s="35">
        <f>AI29/AI12</f>
        <v/>
      </c>
      <c r="AJ30" s="35">
        <f>AJ29/AJ12</f>
        <v/>
      </c>
      <c r="AK30" s="35">
        <f>AK29/AK12</f>
        <v/>
      </c>
      <c r="AL30" s="35">
        <f>AL29/AL12</f>
        <v/>
      </c>
      <c r="AN30" s="35">
        <f>AN29/AN12</f>
        <v/>
      </c>
      <c r="AO30" s="35">
        <f>AO29/AO12</f>
        <v/>
      </c>
    </row>
    <row r="31">
      <c r="A31" s="5" t="inlineStr">
        <is>
          <t>Depreciation</t>
        </is>
      </c>
      <c r="B31" s="2" t="inlineStr">
        <is>
          <t>GBP k</t>
        </is>
      </c>
      <c r="O31" s="19">
        <f>BS!O28</f>
        <v/>
      </c>
      <c r="P31" s="19">
        <f>BS!P28</f>
        <v/>
      </c>
      <c r="Q31" s="19">
        <f>BS!Q28</f>
        <v/>
      </c>
      <c r="R31" s="19">
        <f>BS!R28</f>
        <v/>
      </c>
      <c r="S31" s="19">
        <f>BS!S28</f>
        <v/>
      </c>
      <c r="T31" s="19">
        <f>BS!T28</f>
        <v/>
      </c>
      <c r="U31" s="19">
        <f>BS!U28</f>
        <v/>
      </c>
      <c r="V31" s="19">
        <f>BS!V28</f>
        <v/>
      </c>
      <c r="W31" s="19">
        <f>BS!W28</f>
        <v/>
      </c>
      <c r="X31" s="19">
        <f>BS!X28</f>
        <v/>
      </c>
      <c r="Y31" s="19">
        <f>BS!Y28</f>
        <v/>
      </c>
      <c r="Z31" s="19">
        <f>BS!Z28</f>
        <v/>
      </c>
      <c r="AA31" s="19">
        <f>BS!AA28</f>
        <v/>
      </c>
      <c r="AB31" s="19">
        <f>BS!AB28</f>
        <v/>
      </c>
      <c r="AC31" s="19">
        <f>BS!AC28</f>
        <v/>
      </c>
      <c r="AD31" s="19">
        <f>BS!AD28</f>
        <v/>
      </c>
      <c r="AE31" s="19">
        <f>BS!AE28</f>
        <v/>
      </c>
      <c r="AF31" s="19">
        <f>BS!AF28</f>
        <v/>
      </c>
      <c r="AG31" s="19">
        <f>BS!AG28</f>
        <v/>
      </c>
      <c r="AH31" s="19">
        <f>BS!AH28</f>
        <v/>
      </c>
      <c r="AI31" s="19">
        <f>BS!AI28</f>
        <v/>
      </c>
      <c r="AJ31" s="19">
        <f>BS!AJ28</f>
        <v/>
      </c>
      <c r="AK31" s="19">
        <f>BS!AK28</f>
        <v/>
      </c>
      <c r="AL31" s="19">
        <f>BS!AL28</f>
        <v/>
      </c>
      <c r="AN31" s="36">
        <f>SUMIF($O$5:$AL$5,AN$5,$O31:$AL31)</f>
        <v/>
      </c>
      <c r="AO31" s="36">
        <f>SUMIF($O$5:$AL$5,AO$5,$O31:$AL31)</f>
        <v/>
      </c>
    </row>
    <row r="32">
      <c r="A32" s="37" t="inlineStr">
        <is>
          <t>Operating profit (EBIT)</t>
        </is>
      </c>
      <c r="B32" s="38" t="inlineStr">
        <is>
          <t>GBP k</t>
        </is>
      </c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40">
        <f>O29-O31</f>
        <v/>
      </c>
      <c r="P32" s="40">
        <f>P29-P31</f>
        <v/>
      </c>
      <c r="Q32" s="40">
        <f>Q29-Q31</f>
        <v/>
      </c>
      <c r="R32" s="40">
        <f>R29-R31</f>
        <v/>
      </c>
      <c r="S32" s="40">
        <f>S29-S31</f>
        <v/>
      </c>
      <c r="T32" s="40">
        <f>T29-T31</f>
        <v/>
      </c>
      <c r="U32" s="40">
        <f>U29-U31</f>
        <v/>
      </c>
      <c r="V32" s="40">
        <f>V29-V31</f>
        <v/>
      </c>
      <c r="W32" s="40">
        <f>W29-W31</f>
        <v/>
      </c>
      <c r="X32" s="40">
        <f>X29-X31</f>
        <v/>
      </c>
      <c r="Y32" s="40">
        <f>Y29-Y31</f>
        <v/>
      </c>
      <c r="Z32" s="40">
        <f>Z29-Z31</f>
        <v/>
      </c>
      <c r="AA32" s="40">
        <f>AA29-AA31</f>
        <v/>
      </c>
      <c r="AB32" s="40">
        <f>AB29-AB31</f>
        <v/>
      </c>
      <c r="AC32" s="40">
        <f>AC29-AC31</f>
        <v/>
      </c>
      <c r="AD32" s="40">
        <f>AD29-AD31</f>
        <v/>
      </c>
      <c r="AE32" s="40">
        <f>AE29-AE31</f>
        <v/>
      </c>
      <c r="AF32" s="40">
        <f>AF29-AF31</f>
        <v/>
      </c>
      <c r="AG32" s="40">
        <f>AG29-AG31</f>
        <v/>
      </c>
      <c r="AH32" s="40">
        <f>AH29-AH31</f>
        <v/>
      </c>
      <c r="AI32" s="40">
        <f>AI29-AI31</f>
        <v/>
      </c>
      <c r="AJ32" s="40">
        <f>AJ29-AJ31</f>
        <v/>
      </c>
      <c r="AK32" s="40">
        <f>AK29-AK31</f>
        <v/>
      </c>
      <c r="AL32" s="40">
        <f>AL29-AL31</f>
        <v/>
      </c>
      <c r="AM32" s="39" t="n"/>
      <c r="AN32" s="40">
        <f>SUMIF($O$5:$AL$5,AN$5,$O32:$AL32)</f>
        <v/>
      </c>
      <c r="AO32" s="40">
        <f>SUMIF($O$5:$AL$5,AO$5,$O32:$AL32)</f>
        <v/>
      </c>
    </row>
    <row r="33">
      <c r="A33" s="5" t="inlineStr">
        <is>
          <t>Interest income (on prior-period cash)</t>
        </is>
      </c>
      <c r="B33" s="2" t="inlineStr">
        <is>
          <t>GBP k</t>
        </is>
      </c>
      <c r="O33" s="36">
        <f>BS!N9*inp_interest/12</f>
        <v/>
      </c>
      <c r="P33" s="36">
        <f>BS!O9*inp_interest/12</f>
        <v/>
      </c>
      <c r="Q33" s="36">
        <f>BS!P9*inp_interest/12</f>
        <v/>
      </c>
      <c r="R33" s="36">
        <f>BS!Q9*inp_interest/12</f>
        <v/>
      </c>
      <c r="S33" s="36">
        <f>BS!R9*inp_interest/12</f>
        <v/>
      </c>
      <c r="T33" s="36">
        <f>BS!S9*inp_interest/12</f>
        <v/>
      </c>
      <c r="U33" s="36">
        <f>BS!T9*inp_interest/12</f>
        <v/>
      </c>
      <c r="V33" s="36">
        <f>BS!U9*inp_interest/12</f>
        <v/>
      </c>
      <c r="W33" s="36">
        <f>BS!V9*inp_interest/12</f>
        <v/>
      </c>
      <c r="X33" s="36">
        <f>BS!W9*inp_interest/12</f>
        <v/>
      </c>
      <c r="Y33" s="36">
        <f>BS!X9*inp_interest/12</f>
        <v/>
      </c>
      <c r="Z33" s="36">
        <f>BS!Y9*inp_interest/12</f>
        <v/>
      </c>
      <c r="AA33" s="36">
        <f>BS!Z9*inp_interest/12</f>
        <v/>
      </c>
      <c r="AB33" s="36">
        <f>BS!AA9*inp_interest/12</f>
        <v/>
      </c>
      <c r="AC33" s="36">
        <f>BS!AB9*inp_interest/12</f>
        <v/>
      </c>
      <c r="AD33" s="36">
        <f>BS!AC9*inp_interest/12</f>
        <v/>
      </c>
      <c r="AE33" s="36">
        <f>BS!AD9*inp_interest/12</f>
        <v/>
      </c>
      <c r="AF33" s="36">
        <f>BS!AE9*inp_interest/12</f>
        <v/>
      </c>
      <c r="AG33" s="36">
        <f>BS!AF9*inp_interest/12</f>
        <v/>
      </c>
      <c r="AH33" s="36">
        <f>BS!AG9*inp_interest/12</f>
        <v/>
      </c>
      <c r="AI33" s="36">
        <f>BS!AH9*inp_interest/12</f>
        <v/>
      </c>
      <c r="AJ33" s="36">
        <f>BS!AI9*inp_interest/12</f>
        <v/>
      </c>
      <c r="AK33" s="36">
        <f>BS!AJ9*inp_interest/12</f>
        <v/>
      </c>
      <c r="AL33" s="36">
        <f>BS!AK9*inp_interest/12</f>
        <v/>
      </c>
      <c r="AN33" s="36">
        <f>SUMIF($O$5:$AL$5,AN$5,$O33:$AL33)</f>
        <v/>
      </c>
      <c r="AO33" s="36">
        <f>SUMIF($O$5:$AL$5,AO$5,$O33:$AL33)</f>
        <v/>
      </c>
    </row>
    <row r="34">
      <c r="A34" s="37" t="inlineStr">
        <is>
          <t>Profit before tax</t>
        </is>
      </c>
      <c r="B34" s="38" t="inlineStr">
        <is>
          <t>GBP k</t>
        </is>
      </c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40">
        <f>O32+O33</f>
        <v/>
      </c>
      <c r="P34" s="40">
        <f>P32+P33</f>
        <v/>
      </c>
      <c r="Q34" s="40">
        <f>Q32+Q33</f>
        <v/>
      </c>
      <c r="R34" s="40">
        <f>R32+R33</f>
        <v/>
      </c>
      <c r="S34" s="40">
        <f>S32+S33</f>
        <v/>
      </c>
      <c r="T34" s="40">
        <f>T32+T33</f>
        <v/>
      </c>
      <c r="U34" s="40">
        <f>U32+U33</f>
        <v/>
      </c>
      <c r="V34" s="40">
        <f>V32+V33</f>
        <v/>
      </c>
      <c r="W34" s="40">
        <f>W32+W33</f>
        <v/>
      </c>
      <c r="X34" s="40">
        <f>X32+X33</f>
        <v/>
      </c>
      <c r="Y34" s="40">
        <f>Y32+Y33</f>
        <v/>
      </c>
      <c r="Z34" s="40">
        <f>Z32+Z33</f>
        <v/>
      </c>
      <c r="AA34" s="40">
        <f>AA32+AA33</f>
        <v/>
      </c>
      <c r="AB34" s="40">
        <f>AB32+AB33</f>
        <v/>
      </c>
      <c r="AC34" s="40">
        <f>AC32+AC33</f>
        <v/>
      </c>
      <c r="AD34" s="40">
        <f>AD32+AD33</f>
        <v/>
      </c>
      <c r="AE34" s="40">
        <f>AE32+AE33</f>
        <v/>
      </c>
      <c r="AF34" s="40">
        <f>AF32+AF33</f>
        <v/>
      </c>
      <c r="AG34" s="40">
        <f>AG32+AG33</f>
        <v/>
      </c>
      <c r="AH34" s="40">
        <f>AH32+AH33</f>
        <v/>
      </c>
      <c r="AI34" s="40">
        <f>AI32+AI33</f>
        <v/>
      </c>
      <c r="AJ34" s="40">
        <f>AJ32+AJ33</f>
        <v/>
      </c>
      <c r="AK34" s="40">
        <f>AK32+AK33</f>
        <v/>
      </c>
      <c r="AL34" s="40">
        <f>AL32+AL33</f>
        <v/>
      </c>
      <c r="AM34" s="39" t="n"/>
      <c r="AN34" s="40">
        <f>SUMIF($O$5:$AL$5,AN$5,$O34:$AL34)</f>
        <v/>
      </c>
      <c r="AO34" s="40">
        <f>SUMIF($O$5:$AL$5,AO$5,$O34:$AL34)</f>
        <v/>
      </c>
    </row>
    <row r="35">
      <c r="A35" s="5" t="inlineStr">
        <is>
          <t>Tax</t>
        </is>
      </c>
      <c r="B35" s="2" t="inlineStr">
        <is>
          <t>GBP k</t>
        </is>
      </c>
      <c r="O35" s="36">
        <f>MAX(0,O34)*inp_tax</f>
        <v/>
      </c>
      <c r="P35" s="36">
        <f>MAX(0,P34)*inp_tax</f>
        <v/>
      </c>
      <c r="Q35" s="36">
        <f>MAX(0,Q34)*inp_tax</f>
        <v/>
      </c>
      <c r="R35" s="36">
        <f>MAX(0,R34)*inp_tax</f>
        <v/>
      </c>
      <c r="S35" s="36">
        <f>MAX(0,S34)*inp_tax</f>
        <v/>
      </c>
      <c r="T35" s="36">
        <f>MAX(0,T34)*inp_tax</f>
        <v/>
      </c>
      <c r="U35" s="36">
        <f>MAX(0,U34)*inp_tax</f>
        <v/>
      </c>
      <c r="V35" s="36">
        <f>MAX(0,V34)*inp_tax</f>
        <v/>
      </c>
      <c r="W35" s="36">
        <f>MAX(0,W34)*inp_tax</f>
        <v/>
      </c>
      <c r="X35" s="36">
        <f>MAX(0,X34)*inp_tax</f>
        <v/>
      </c>
      <c r="Y35" s="36">
        <f>MAX(0,Y34)*inp_tax</f>
        <v/>
      </c>
      <c r="Z35" s="36">
        <f>MAX(0,Z34)*inp_tax</f>
        <v/>
      </c>
      <c r="AA35" s="36">
        <f>MAX(0,AA34)*inp_tax</f>
        <v/>
      </c>
      <c r="AB35" s="36">
        <f>MAX(0,AB34)*inp_tax</f>
        <v/>
      </c>
      <c r="AC35" s="36">
        <f>MAX(0,AC34)*inp_tax</f>
        <v/>
      </c>
      <c r="AD35" s="36">
        <f>MAX(0,AD34)*inp_tax</f>
        <v/>
      </c>
      <c r="AE35" s="36">
        <f>MAX(0,AE34)*inp_tax</f>
        <v/>
      </c>
      <c r="AF35" s="36">
        <f>MAX(0,AF34)*inp_tax</f>
        <v/>
      </c>
      <c r="AG35" s="36">
        <f>MAX(0,AG34)*inp_tax</f>
        <v/>
      </c>
      <c r="AH35" s="36">
        <f>MAX(0,AH34)*inp_tax</f>
        <v/>
      </c>
      <c r="AI35" s="36">
        <f>MAX(0,AI34)*inp_tax</f>
        <v/>
      </c>
      <c r="AJ35" s="36">
        <f>MAX(0,AJ34)*inp_tax</f>
        <v/>
      </c>
      <c r="AK35" s="36">
        <f>MAX(0,AK34)*inp_tax</f>
        <v/>
      </c>
      <c r="AL35" s="36">
        <f>MAX(0,AL34)*inp_tax</f>
        <v/>
      </c>
      <c r="AN35" s="36">
        <f>SUMIF($O$5:$AL$5,AN$5,$O35:$AL35)</f>
        <v/>
      </c>
      <c r="AO35" s="36">
        <f>SUMIF($O$5:$AL$5,AO$5,$O35:$AL35)</f>
        <v/>
      </c>
    </row>
    <row r="36">
      <c r="A36" s="37" t="inlineStr">
        <is>
          <t>Net income</t>
        </is>
      </c>
      <c r="B36" s="38" t="inlineStr">
        <is>
          <t>GBP k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40">
        <f>O34-O35</f>
        <v/>
      </c>
      <c r="P36" s="40">
        <f>P34-P35</f>
        <v/>
      </c>
      <c r="Q36" s="40">
        <f>Q34-Q35</f>
        <v/>
      </c>
      <c r="R36" s="40">
        <f>R34-R35</f>
        <v/>
      </c>
      <c r="S36" s="40">
        <f>S34-S35</f>
        <v/>
      </c>
      <c r="T36" s="40">
        <f>T34-T35</f>
        <v/>
      </c>
      <c r="U36" s="40">
        <f>U34-U35</f>
        <v/>
      </c>
      <c r="V36" s="40">
        <f>V34-V35</f>
        <v/>
      </c>
      <c r="W36" s="40">
        <f>W34-W35</f>
        <v/>
      </c>
      <c r="X36" s="40">
        <f>X34-X35</f>
        <v/>
      </c>
      <c r="Y36" s="40">
        <f>Y34-Y35</f>
        <v/>
      </c>
      <c r="Z36" s="40">
        <f>Z34-Z35</f>
        <v/>
      </c>
      <c r="AA36" s="40">
        <f>AA34-AA35</f>
        <v/>
      </c>
      <c r="AB36" s="40">
        <f>AB34-AB35</f>
        <v/>
      </c>
      <c r="AC36" s="40">
        <f>AC34-AC35</f>
        <v/>
      </c>
      <c r="AD36" s="40">
        <f>AD34-AD35</f>
        <v/>
      </c>
      <c r="AE36" s="40">
        <f>AE34-AE35</f>
        <v/>
      </c>
      <c r="AF36" s="40">
        <f>AF34-AF35</f>
        <v/>
      </c>
      <c r="AG36" s="40">
        <f>AG34-AG35</f>
        <v/>
      </c>
      <c r="AH36" s="40">
        <f>AH34-AH35</f>
        <v/>
      </c>
      <c r="AI36" s="40">
        <f>AI34-AI35</f>
        <v/>
      </c>
      <c r="AJ36" s="40">
        <f>AJ34-AJ35</f>
        <v/>
      </c>
      <c r="AK36" s="40">
        <f>AK34-AK35</f>
        <v/>
      </c>
      <c r="AL36" s="40">
        <f>AL34-AL35</f>
        <v/>
      </c>
      <c r="AM36" s="39" t="n"/>
      <c r="AN36" s="40">
        <f>SUMIF($O$5:$AL$5,AN$5,$O36:$AL36)</f>
        <v/>
      </c>
      <c r="AO36" s="40">
        <f>SUMIF($O$5:$AL$5,AO$5,$O36:$AL36)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BS - balance sheet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Assets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Cash</t>
        </is>
      </c>
      <c r="B9" s="2" t="inlineStr">
        <is>
          <t>GBP k</t>
        </is>
      </c>
      <c r="N9" s="19">
        <f>CF!N24</f>
        <v/>
      </c>
      <c r="O9" s="19">
        <f>CF!O24</f>
        <v/>
      </c>
      <c r="P9" s="19">
        <f>CF!P24</f>
        <v/>
      </c>
      <c r="Q9" s="19">
        <f>CF!Q24</f>
        <v/>
      </c>
      <c r="R9" s="19">
        <f>CF!R24</f>
        <v/>
      </c>
      <c r="S9" s="19">
        <f>CF!S24</f>
        <v/>
      </c>
      <c r="T9" s="19">
        <f>CF!T24</f>
        <v/>
      </c>
      <c r="U9" s="19">
        <f>CF!U24</f>
        <v/>
      </c>
      <c r="V9" s="19">
        <f>CF!V24</f>
        <v/>
      </c>
      <c r="W9" s="19">
        <f>CF!W24</f>
        <v/>
      </c>
      <c r="X9" s="19">
        <f>CF!X24</f>
        <v/>
      </c>
      <c r="Y9" s="19">
        <f>CF!Y24</f>
        <v/>
      </c>
      <c r="Z9" s="19">
        <f>CF!Z24</f>
        <v/>
      </c>
      <c r="AA9" s="19">
        <f>CF!AA24</f>
        <v/>
      </c>
      <c r="AB9" s="19">
        <f>CF!AB24</f>
        <v/>
      </c>
      <c r="AC9" s="19">
        <f>CF!AC24</f>
        <v/>
      </c>
      <c r="AD9" s="19">
        <f>CF!AD24</f>
        <v/>
      </c>
      <c r="AE9" s="19">
        <f>CF!AE24</f>
        <v/>
      </c>
      <c r="AF9" s="19">
        <f>CF!AF24</f>
        <v/>
      </c>
      <c r="AG9" s="19">
        <f>CF!AG24</f>
        <v/>
      </c>
      <c r="AH9" s="19">
        <f>CF!AH24</f>
        <v/>
      </c>
      <c r="AI9" s="19">
        <f>CF!AI24</f>
        <v/>
      </c>
      <c r="AJ9" s="19">
        <f>CF!AJ24</f>
        <v/>
      </c>
      <c r="AK9" s="19">
        <f>CF!AK24</f>
        <v/>
      </c>
      <c r="AL9" s="19">
        <f>CF!AL24</f>
        <v/>
      </c>
      <c r="AN9" s="36">
        <f>INDEX($O9:$AL9,1,AN$5*12)</f>
        <v/>
      </c>
      <c r="AO9" s="36">
        <f>INDEX($O9:$AL9,1,AO$5*12)</f>
        <v/>
      </c>
    </row>
    <row r="10">
      <c r="A10" s="5" t="inlineStr">
        <is>
          <t>Trade receivables</t>
        </is>
      </c>
      <c r="B10" s="2" t="inlineStr">
        <is>
          <t>GBP k</t>
        </is>
      </c>
      <c r="N10" s="19">
        <f>Rev_Rec!N37</f>
        <v/>
      </c>
      <c r="O10" s="19">
        <f>Rev_Rec!O37</f>
        <v/>
      </c>
      <c r="P10" s="19">
        <f>Rev_Rec!P37</f>
        <v/>
      </c>
      <c r="Q10" s="19">
        <f>Rev_Rec!Q37</f>
        <v/>
      </c>
      <c r="R10" s="19">
        <f>Rev_Rec!R37</f>
        <v/>
      </c>
      <c r="S10" s="19">
        <f>Rev_Rec!S37</f>
        <v/>
      </c>
      <c r="T10" s="19">
        <f>Rev_Rec!T37</f>
        <v/>
      </c>
      <c r="U10" s="19">
        <f>Rev_Rec!U37</f>
        <v/>
      </c>
      <c r="V10" s="19">
        <f>Rev_Rec!V37</f>
        <v/>
      </c>
      <c r="W10" s="19">
        <f>Rev_Rec!W37</f>
        <v/>
      </c>
      <c r="X10" s="19">
        <f>Rev_Rec!X37</f>
        <v/>
      </c>
      <c r="Y10" s="19">
        <f>Rev_Rec!Y37</f>
        <v/>
      </c>
      <c r="Z10" s="19">
        <f>Rev_Rec!Z37</f>
        <v/>
      </c>
      <c r="AA10" s="19">
        <f>Rev_Rec!AA37</f>
        <v/>
      </c>
      <c r="AB10" s="19">
        <f>Rev_Rec!AB37</f>
        <v/>
      </c>
      <c r="AC10" s="19">
        <f>Rev_Rec!AC37</f>
        <v/>
      </c>
      <c r="AD10" s="19">
        <f>Rev_Rec!AD37</f>
        <v/>
      </c>
      <c r="AE10" s="19">
        <f>Rev_Rec!AE37</f>
        <v/>
      </c>
      <c r="AF10" s="19">
        <f>Rev_Rec!AF37</f>
        <v/>
      </c>
      <c r="AG10" s="19">
        <f>Rev_Rec!AG37</f>
        <v/>
      </c>
      <c r="AH10" s="19">
        <f>Rev_Rec!AH37</f>
        <v/>
      </c>
      <c r="AI10" s="19">
        <f>Rev_Rec!AI37</f>
        <v/>
      </c>
      <c r="AJ10" s="19">
        <f>Rev_Rec!AJ37</f>
        <v/>
      </c>
      <c r="AK10" s="19">
        <f>Rev_Rec!AK37</f>
        <v/>
      </c>
      <c r="AL10" s="19">
        <f>Rev_Rec!AL37</f>
        <v/>
      </c>
      <c r="AN10" s="36">
        <f>INDEX($O10:$AL10,1,AN$5*12)</f>
        <v/>
      </c>
      <c r="AO10" s="36">
        <f>INDEX($O10:$AL10,1,AO$5*12)</f>
        <v/>
      </c>
    </row>
    <row r="11">
      <c r="A11" s="5" t="inlineStr">
        <is>
          <t>PP&amp;E (net)</t>
        </is>
      </c>
      <c r="B11" s="2" t="inlineStr">
        <is>
          <t>GBP k</t>
        </is>
      </c>
      <c r="N11" s="36">
        <f>N29</f>
        <v/>
      </c>
      <c r="O11" s="36">
        <f>O29</f>
        <v/>
      </c>
      <c r="P11" s="36">
        <f>P29</f>
        <v/>
      </c>
      <c r="Q11" s="36">
        <f>Q29</f>
        <v/>
      </c>
      <c r="R11" s="36">
        <f>R29</f>
        <v/>
      </c>
      <c r="S11" s="36">
        <f>S29</f>
        <v/>
      </c>
      <c r="T11" s="36">
        <f>T29</f>
        <v/>
      </c>
      <c r="U11" s="36">
        <f>U29</f>
        <v/>
      </c>
      <c r="V11" s="36">
        <f>V29</f>
        <v/>
      </c>
      <c r="W11" s="36">
        <f>W29</f>
        <v/>
      </c>
      <c r="X11" s="36">
        <f>X29</f>
        <v/>
      </c>
      <c r="Y11" s="36">
        <f>Y29</f>
        <v/>
      </c>
      <c r="Z11" s="36">
        <f>Z29</f>
        <v/>
      </c>
      <c r="AA11" s="36">
        <f>AA29</f>
        <v/>
      </c>
      <c r="AB11" s="36">
        <f>AB29</f>
        <v/>
      </c>
      <c r="AC11" s="36">
        <f>AC29</f>
        <v/>
      </c>
      <c r="AD11" s="36">
        <f>AD29</f>
        <v/>
      </c>
      <c r="AE11" s="36">
        <f>AE29</f>
        <v/>
      </c>
      <c r="AF11" s="36">
        <f>AF29</f>
        <v/>
      </c>
      <c r="AG11" s="36">
        <f>AG29</f>
        <v/>
      </c>
      <c r="AH11" s="36">
        <f>AH29</f>
        <v/>
      </c>
      <c r="AI11" s="36">
        <f>AI29</f>
        <v/>
      </c>
      <c r="AJ11" s="36">
        <f>AJ29</f>
        <v/>
      </c>
      <c r="AK11" s="36">
        <f>AK29</f>
        <v/>
      </c>
      <c r="AL11" s="36">
        <f>AL29</f>
        <v/>
      </c>
      <c r="AN11" s="36">
        <f>INDEX($O11:$AL11,1,AN$5*12)</f>
        <v/>
      </c>
      <c r="AO11" s="36">
        <f>INDEX($O11:$AL11,1,AO$5*12)</f>
        <v/>
      </c>
    </row>
    <row r="12">
      <c r="A12" s="5" t="inlineStr">
        <is>
          <t>Capitalised contract costs</t>
        </is>
      </c>
      <c r="B12" s="2" t="inlineStr">
        <is>
          <t>GBP k</t>
        </is>
      </c>
      <c r="N12" s="19">
        <f>Contract_Costs!N17</f>
        <v/>
      </c>
      <c r="O12" s="19">
        <f>Contract_Costs!O17</f>
        <v/>
      </c>
      <c r="P12" s="19">
        <f>Contract_Costs!P17</f>
        <v/>
      </c>
      <c r="Q12" s="19">
        <f>Contract_Costs!Q17</f>
        <v/>
      </c>
      <c r="R12" s="19">
        <f>Contract_Costs!R17</f>
        <v/>
      </c>
      <c r="S12" s="19">
        <f>Contract_Costs!S17</f>
        <v/>
      </c>
      <c r="T12" s="19">
        <f>Contract_Costs!T17</f>
        <v/>
      </c>
      <c r="U12" s="19">
        <f>Contract_Costs!U17</f>
        <v/>
      </c>
      <c r="V12" s="19">
        <f>Contract_Costs!V17</f>
        <v/>
      </c>
      <c r="W12" s="19">
        <f>Contract_Costs!W17</f>
        <v/>
      </c>
      <c r="X12" s="19">
        <f>Contract_Costs!X17</f>
        <v/>
      </c>
      <c r="Y12" s="19">
        <f>Contract_Costs!Y17</f>
        <v/>
      </c>
      <c r="Z12" s="19">
        <f>Contract_Costs!Z17</f>
        <v/>
      </c>
      <c r="AA12" s="19">
        <f>Contract_Costs!AA17</f>
        <v/>
      </c>
      <c r="AB12" s="19">
        <f>Contract_Costs!AB17</f>
        <v/>
      </c>
      <c r="AC12" s="19">
        <f>Contract_Costs!AC17</f>
        <v/>
      </c>
      <c r="AD12" s="19">
        <f>Contract_Costs!AD17</f>
        <v/>
      </c>
      <c r="AE12" s="19">
        <f>Contract_Costs!AE17</f>
        <v/>
      </c>
      <c r="AF12" s="19">
        <f>Contract_Costs!AF17</f>
        <v/>
      </c>
      <c r="AG12" s="19">
        <f>Contract_Costs!AG17</f>
        <v/>
      </c>
      <c r="AH12" s="19">
        <f>Contract_Costs!AH17</f>
        <v/>
      </c>
      <c r="AI12" s="19">
        <f>Contract_Costs!AI17</f>
        <v/>
      </c>
      <c r="AJ12" s="19">
        <f>Contract_Costs!AJ17</f>
        <v/>
      </c>
      <c r="AK12" s="19">
        <f>Contract_Costs!AK17</f>
        <v/>
      </c>
      <c r="AL12" s="19">
        <f>Contract_Costs!AL17</f>
        <v/>
      </c>
      <c r="AN12" s="36">
        <f>INDEX($O12:$AL12,1,AN$5*12)</f>
        <v/>
      </c>
      <c r="AO12" s="36">
        <f>INDEX($O12:$AL12,1,AO$5*12)</f>
        <v/>
      </c>
    </row>
    <row r="13">
      <c r="A13" s="37" t="inlineStr">
        <is>
          <t>Total assets</t>
        </is>
      </c>
      <c r="B13" s="38" t="inlineStr">
        <is>
          <t>GBP k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40">
        <f>SUM(N9:N12)</f>
        <v/>
      </c>
      <c r="O13" s="40">
        <f>SUM(O9:O12)</f>
        <v/>
      </c>
      <c r="P13" s="40">
        <f>SUM(P9:P12)</f>
        <v/>
      </c>
      <c r="Q13" s="40">
        <f>SUM(Q9:Q12)</f>
        <v/>
      </c>
      <c r="R13" s="40">
        <f>SUM(R9:R12)</f>
        <v/>
      </c>
      <c r="S13" s="40">
        <f>SUM(S9:S12)</f>
        <v/>
      </c>
      <c r="T13" s="40">
        <f>SUM(T9:T12)</f>
        <v/>
      </c>
      <c r="U13" s="40">
        <f>SUM(U9:U12)</f>
        <v/>
      </c>
      <c r="V13" s="40">
        <f>SUM(V9:V12)</f>
        <v/>
      </c>
      <c r="W13" s="40">
        <f>SUM(W9:W12)</f>
        <v/>
      </c>
      <c r="X13" s="40">
        <f>SUM(X9:X12)</f>
        <v/>
      </c>
      <c r="Y13" s="40">
        <f>SUM(Y9:Y12)</f>
        <v/>
      </c>
      <c r="Z13" s="40">
        <f>SUM(Z9:Z12)</f>
        <v/>
      </c>
      <c r="AA13" s="40">
        <f>SUM(AA9:AA12)</f>
        <v/>
      </c>
      <c r="AB13" s="40">
        <f>SUM(AB9:AB12)</f>
        <v/>
      </c>
      <c r="AC13" s="40">
        <f>SUM(AC9:AC12)</f>
        <v/>
      </c>
      <c r="AD13" s="40">
        <f>SUM(AD9:AD12)</f>
        <v/>
      </c>
      <c r="AE13" s="40">
        <f>SUM(AE9:AE12)</f>
        <v/>
      </c>
      <c r="AF13" s="40">
        <f>SUM(AF9:AF12)</f>
        <v/>
      </c>
      <c r="AG13" s="40">
        <f>SUM(AG9:AG12)</f>
        <v/>
      </c>
      <c r="AH13" s="40">
        <f>SUM(AH9:AH12)</f>
        <v/>
      </c>
      <c r="AI13" s="40">
        <f>SUM(AI9:AI12)</f>
        <v/>
      </c>
      <c r="AJ13" s="40">
        <f>SUM(AJ9:AJ12)</f>
        <v/>
      </c>
      <c r="AK13" s="40">
        <f>SUM(AK9:AK12)</f>
        <v/>
      </c>
      <c r="AL13" s="40">
        <f>SUM(AL9:AL12)</f>
        <v/>
      </c>
      <c r="AM13" s="39" t="n"/>
      <c r="AN13" s="40">
        <f>INDEX($O13:$AL13,1,AN$5*12)</f>
        <v/>
      </c>
      <c r="AO13" s="40">
        <f>INDEX($O13:$AL13,1,AO$5*12)</f>
        <v/>
      </c>
    </row>
    <row r="15">
      <c r="A15" s="13" t="inlineStr">
        <is>
          <t>Liabilities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5" t="inlineStr">
        <is>
          <t>Trade payables</t>
        </is>
      </c>
      <c r="B16" s="2" t="inlineStr">
        <is>
          <t>GBP k</t>
        </is>
      </c>
      <c r="N16" s="36">
        <f>inp_open_ap</f>
        <v/>
      </c>
      <c r="O16" s="36">
        <f>O32*inp_dpo/30</f>
        <v/>
      </c>
      <c r="P16" s="36">
        <f>P32*inp_dpo/30</f>
        <v/>
      </c>
      <c r="Q16" s="36">
        <f>Q32*inp_dpo/30</f>
        <v/>
      </c>
      <c r="R16" s="36">
        <f>R32*inp_dpo/30</f>
        <v/>
      </c>
      <c r="S16" s="36">
        <f>S32*inp_dpo/30</f>
        <v/>
      </c>
      <c r="T16" s="36">
        <f>T32*inp_dpo/30</f>
        <v/>
      </c>
      <c r="U16" s="36">
        <f>U32*inp_dpo/30</f>
        <v/>
      </c>
      <c r="V16" s="36">
        <f>V32*inp_dpo/30</f>
        <v/>
      </c>
      <c r="W16" s="36">
        <f>W32*inp_dpo/30</f>
        <v/>
      </c>
      <c r="X16" s="36">
        <f>X32*inp_dpo/30</f>
        <v/>
      </c>
      <c r="Y16" s="36">
        <f>Y32*inp_dpo/30</f>
        <v/>
      </c>
      <c r="Z16" s="36">
        <f>Z32*inp_dpo/30</f>
        <v/>
      </c>
      <c r="AA16" s="36">
        <f>AA32*inp_dpo/30</f>
        <v/>
      </c>
      <c r="AB16" s="36">
        <f>AB32*inp_dpo/30</f>
        <v/>
      </c>
      <c r="AC16" s="36">
        <f>AC32*inp_dpo/30</f>
        <v/>
      </c>
      <c r="AD16" s="36">
        <f>AD32*inp_dpo/30</f>
        <v/>
      </c>
      <c r="AE16" s="36">
        <f>AE32*inp_dpo/30</f>
        <v/>
      </c>
      <c r="AF16" s="36">
        <f>AF32*inp_dpo/30</f>
        <v/>
      </c>
      <c r="AG16" s="36">
        <f>AG32*inp_dpo/30</f>
        <v/>
      </c>
      <c r="AH16" s="36">
        <f>AH32*inp_dpo/30</f>
        <v/>
      </c>
      <c r="AI16" s="36">
        <f>AI32*inp_dpo/30</f>
        <v/>
      </c>
      <c r="AJ16" s="36">
        <f>AJ32*inp_dpo/30</f>
        <v/>
      </c>
      <c r="AK16" s="36">
        <f>AK32*inp_dpo/30</f>
        <v/>
      </c>
      <c r="AL16" s="36">
        <f>AL32*inp_dpo/30</f>
        <v/>
      </c>
      <c r="AN16" s="36">
        <f>INDEX($O16:$AL16,1,AN$5*12)</f>
        <v/>
      </c>
      <c r="AO16" s="36">
        <f>INDEX($O16:$AL16,1,AO$5*12)</f>
        <v/>
      </c>
    </row>
    <row r="17">
      <c r="A17" s="5" t="inlineStr">
        <is>
          <t>Deferred revenue</t>
        </is>
      </c>
      <c r="B17" s="2" t="inlineStr">
        <is>
          <t>GBP k</t>
        </is>
      </c>
      <c r="N17" s="19">
        <f>Rev_Rec!N34</f>
        <v/>
      </c>
      <c r="O17" s="19">
        <f>Rev_Rec!O34</f>
        <v/>
      </c>
      <c r="P17" s="19">
        <f>Rev_Rec!P34</f>
        <v/>
      </c>
      <c r="Q17" s="19">
        <f>Rev_Rec!Q34</f>
        <v/>
      </c>
      <c r="R17" s="19">
        <f>Rev_Rec!R34</f>
        <v/>
      </c>
      <c r="S17" s="19">
        <f>Rev_Rec!S34</f>
        <v/>
      </c>
      <c r="T17" s="19">
        <f>Rev_Rec!T34</f>
        <v/>
      </c>
      <c r="U17" s="19">
        <f>Rev_Rec!U34</f>
        <v/>
      </c>
      <c r="V17" s="19">
        <f>Rev_Rec!V34</f>
        <v/>
      </c>
      <c r="W17" s="19">
        <f>Rev_Rec!W34</f>
        <v/>
      </c>
      <c r="X17" s="19">
        <f>Rev_Rec!X34</f>
        <v/>
      </c>
      <c r="Y17" s="19">
        <f>Rev_Rec!Y34</f>
        <v/>
      </c>
      <c r="Z17" s="19">
        <f>Rev_Rec!Z34</f>
        <v/>
      </c>
      <c r="AA17" s="19">
        <f>Rev_Rec!AA34</f>
        <v/>
      </c>
      <c r="AB17" s="19">
        <f>Rev_Rec!AB34</f>
        <v/>
      </c>
      <c r="AC17" s="19">
        <f>Rev_Rec!AC34</f>
        <v/>
      </c>
      <c r="AD17" s="19">
        <f>Rev_Rec!AD34</f>
        <v/>
      </c>
      <c r="AE17" s="19">
        <f>Rev_Rec!AE34</f>
        <v/>
      </c>
      <c r="AF17" s="19">
        <f>Rev_Rec!AF34</f>
        <v/>
      </c>
      <c r="AG17" s="19">
        <f>Rev_Rec!AG34</f>
        <v/>
      </c>
      <c r="AH17" s="19">
        <f>Rev_Rec!AH34</f>
        <v/>
      </c>
      <c r="AI17" s="19">
        <f>Rev_Rec!AI34</f>
        <v/>
      </c>
      <c r="AJ17" s="19">
        <f>Rev_Rec!AJ34</f>
        <v/>
      </c>
      <c r="AK17" s="19">
        <f>Rev_Rec!AK34</f>
        <v/>
      </c>
      <c r="AL17" s="19">
        <f>Rev_Rec!AL34</f>
        <v/>
      </c>
      <c r="AN17" s="36">
        <f>INDEX($O17:$AL17,1,AN$5*12)</f>
        <v/>
      </c>
      <c r="AO17" s="36">
        <f>INDEX($O17:$AL17,1,AO$5*12)</f>
        <v/>
      </c>
    </row>
    <row r="18">
      <c r="A18" s="37" t="inlineStr">
        <is>
          <t>Total liabilities</t>
        </is>
      </c>
      <c r="B18" s="38" t="inlineStr">
        <is>
          <t>GBP k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40">
        <f>N16+N17</f>
        <v/>
      </c>
      <c r="O18" s="40">
        <f>O16+O17</f>
        <v/>
      </c>
      <c r="P18" s="40">
        <f>P16+P17</f>
        <v/>
      </c>
      <c r="Q18" s="40">
        <f>Q16+Q17</f>
        <v/>
      </c>
      <c r="R18" s="40">
        <f>R16+R17</f>
        <v/>
      </c>
      <c r="S18" s="40">
        <f>S16+S17</f>
        <v/>
      </c>
      <c r="T18" s="40">
        <f>T16+T17</f>
        <v/>
      </c>
      <c r="U18" s="40">
        <f>U16+U17</f>
        <v/>
      </c>
      <c r="V18" s="40">
        <f>V16+V17</f>
        <v/>
      </c>
      <c r="W18" s="40">
        <f>W16+W17</f>
        <v/>
      </c>
      <c r="X18" s="40">
        <f>X16+X17</f>
        <v/>
      </c>
      <c r="Y18" s="40">
        <f>Y16+Y17</f>
        <v/>
      </c>
      <c r="Z18" s="40">
        <f>Z16+Z17</f>
        <v/>
      </c>
      <c r="AA18" s="40">
        <f>AA16+AA17</f>
        <v/>
      </c>
      <c r="AB18" s="40">
        <f>AB16+AB17</f>
        <v/>
      </c>
      <c r="AC18" s="40">
        <f>AC16+AC17</f>
        <v/>
      </c>
      <c r="AD18" s="40">
        <f>AD16+AD17</f>
        <v/>
      </c>
      <c r="AE18" s="40">
        <f>AE16+AE17</f>
        <v/>
      </c>
      <c r="AF18" s="40">
        <f>AF16+AF17</f>
        <v/>
      </c>
      <c r="AG18" s="40">
        <f>AG16+AG17</f>
        <v/>
      </c>
      <c r="AH18" s="40">
        <f>AH16+AH17</f>
        <v/>
      </c>
      <c r="AI18" s="40">
        <f>AI16+AI17</f>
        <v/>
      </c>
      <c r="AJ18" s="40">
        <f>AJ16+AJ17</f>
        <v/>
      </c>
      <c r="AK18" s="40">
        <f>AK16+AK17</f>
        <v/>
      </c>
      <c r="AL18" s="40">
        <f>AL16+AL17</f>
        <v/>
      </c>
      <c r="AM18" s="39" t="n"/>
      <c r="AN18" s="40">
        <f>INDEX($O18:$AL18,1,AN$5*12)</f>
        <v/>
      </c>
      <c r="AO18" s="40">
        <f>INDEX($O18:$AL18,1,AO$5*12)</f>
        <v/>
      </c>
    </row>
    <row r="20">
      <c r="A20" s="13" t="inlineStr">
        <is>
          <t>Equity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" t="inlineStr">
        <is>
          <t>Total equity (opening net assets + cumulative net income)</t>
        </is>
      </c>
      <c r="B21" s="2" t="inlineStr">
        <is>
          <t>GBP k</t>
        </is>
      </c>
      <c r="N21" s="42">
        <f>N13-N18</f>
        <v/>
      </c>
      <c r="O21" s="42">
        <f>N21+IS!O36</f>
        <v/>
      </c>
      <c r="P21" s="42">
        <f>O21+IS!P36</f>
        <v/>
      </c>
      <c r="Q21" s="42">
        <f>P21+IS!Q36</f>
        <v/>
      </c>
      <c r="R21" s="42">
        <f>Q21+IS!R36</f>
        <v/>
      </c>
      <c r="S21" s="42">
        <f>R21+IS!S36</f>
        <v/>
      </c>
      <c r="T21" s="42">
        <f>S21+IS!T36</f>
        <v/>
      </c>
      <c r="U21" s="42">
        <f>T21+IS!U36</f>
        <v/>
      </c>
      <c r="V21" s="42">
        <f>U21+IS!V36</f>
        <v/>
      </c>
      <c r="W21" s="42">
        <f>V21+IS!W36</f>
        <v/>
      </c>
      <c r="X21" s="42">
        <f>W21+IS!X36</f>
        <v/>
      </c>
      <c r="Y21" s="42">
        <f>X21+IS!Y36</f>
        <v/>
      </c>
      <c r="Z21" s="42">
        <f>Y21+IS!Z36</f>
        <v/>
      </c>
      <c r="AA21" s="42">
        <f>Z21+IS!AA36</f>
        <v/>
      </c>
      <c r="AB21" s="42">
        <f>AA21+IS!AB36</f>
        <v/>
      </c>
      <c r="AC21" s="42">
        <f>AB21+IS!AC36</f>
        <v/>
      </c>
      <c r="AD21" s="42">
        <f>AC21+IS!AD36</f>
        <v/>
      </c>
      <c r="AE21" s="42">
        <f>AD21+IS!AE36</f>
        <v/>
      </c>
      <c r="AF21" s="42">
        <f>AE21+IS!AF36</f>
        <v/>
      </c>
      <c r="AG21" s="42">
        <f>AF21+IS!AG36</f>
        <v/>
      </c>
      <c r="AH21" s="42">
        <f>AG21+IS!AH36</f>
        <v/>
      </c>
      <c r="AI21" s="42">
        <f>AH21+IS!AI36</f>
        <v/>
      </c>
      <c r="AJ21" s="42">
        <f>AI21+IS!AJ36</f>
        <v/>
      </c>
      <c r="AK21" s="42">
        <f>AJ21+IS!AK36</f>
        <v/>
      </c>
      <c r="AL21" s="42">
        <f>AK21+IS!AL36</f>
        <v/>
      </c>
      <c r="AN21" s="42">
        <f>INDEX($O21:$AL21,1,AN$5*12)</f>
        <v/>
      </c>
      <c r="AO21" s="42">
        <f>INDEX($O21:$AL21,1,AO$5*12)</f>
        <v/>
      </c>
    </row>
    <row r="23">
      <c r="A23" s="3" t="inlineStr">
        <is>
          <t>Balance check (assets - liabilities - equity)</t>
        </is>
      </c>
      <c r="B23" s="2" t="inlineStr">
        <is>
          <t>GBP k</t>
        </is>
      </c>
      <c r="N23" s="45">
        <f>N13-N18-N21</f>
        <v/>
      </c>
      <c r="O23" s="45">
        <f>O13-O18-O21</f>
        <v/>
      </c>
      <c r="P23" s="45">
        <f>P13-P18-P21</f>
        <v/>
      </c>
      <c r="Q23" s="45">
        <f>Q13-Q18-Q21</f>
        <v/>
      </c>
      <c r="R23" s="45">
        <f>R13-R18-R21</f>
        <v/>
      </c>
      <c r="S23" s="45">
        <f>S13-S18-S21</f>
        <v/>
      </c>
      <c r="T23" s="45">
        <f>T13-T18-T21</f>
        <v/>
      </c>
      <c r="U23" s="45">
        <f>U13-U18-U21</f>
        <v/>
      </c>
      <c r="V23" s="45">
        <f>V13-V18-V21</f>
        <v/>
      </c>
      <c r="W23" s="45">
        <f>W13-W18-W21</f>
        <v/>
      </c>
      <c r="X23" s="45">
        <f>X13-X18-X21</f>
        <v/>
      </c>
      <c r="Y23" s="45">
        <f>Y13-Y18-Y21</f>
        <v/>
      </c>
      <c r="Z23" s="45">
        <f>Z13-Z18-Z21</f>
        <v/>
      </c>
      <c r="AA23" s="45">
        <f>AA13-AA18-AA21</f>
        <v/>
      </c>
      <c r="AB23" s="45">
        <f>AB13-AB18-AB21</f>
        <v/>
      </c>
      <c r="AC23" s="45">
        <f>AC13-AC18-AC21</f>
        <v/>
      </c>
      <c r="AD23" s="45">
        <f>AD13-AD18-AD21</f>
        <v/>
      </c>
      <c r="AE23" s="45">
        <f>AE13-AE18-AE21</f>
        <v/>
      </c>
      <c r="AF23" s="45">
        <f>AF13-AF18-AF21</f>
        <v/>
      </c>
      <c r="AG23" s="45">
        <f>AG13-AG18-AG21</f>
        <v/>
      </c>
      <c r="AH23" s="45">
        <f>AH13-AH18-AH21</f>
        <v/>
      </c>
      <c r="AI23" s="45">
        <f>AI13-AI18-AI21</f>
        <v/>
      </c>
      <c r="AJ23" s="45">
        <f>AJ13-AJ18-AJ21</f>
        <v/>
      </c>
      <c r="AK23" s="45">
        <f>AK13-AK18-AK21</f>
        <v/>
      </c>
      <c r="AL23" s="45">
        <f>AL13-AL18-AL21</f>
        <v/>
      </c>
      <c r="AN23" s="45">
        <f>INDEX($O23:$AL23,1,AN$5*12)</f>
        <v/>
      </c>
      <c r="AO23" s="45">
        <f>INDEX($O23:$AL23,1,AO$5*12)</f>
        <v/>
      </c>
    </row>
    <row r="25">
      <c r="A25" s="13" t="inlineStr">
        <is>
          <t>Supporting schedule: PP&amp;E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5" t="inlineStr">
        <is>
          <t>Opening net book value</t>
        </is>
      </c>
      <c r="B26" s="2" t="inlineStr">
        <is>
          <t>GBP k</t>
        </is>
      </c>
      <c r="O26" s="36">
        <f>N29</f>
        <v/>
      </c>
      <c r="P26" s="36">
        <f>O29</f>
        <v/>
      </c>
      <c r="Q26" s="36">
        <f>P29</f>
        <v/>
      </c>
      <c r="R26" s="36">
        <f>Q29</f>
        <v/>
      </c>
      <c r="S26" s="36">
        <f>R29</f>
        <v/>
      </c>
      <c r="T26" s="36">
        <f>S29</f>
        <v/>
      </c>
      <c r="U26" s="36">
        <f>T29</f>
        <v/>
      </c>
      <c r="V26" s="36">
        <f>U29</f>
        <v/>
      </c>
      <c r="W26" s="36">
        <f>V29</f>
        <v/>
      </c>
      <c r="X26" s="36">
        <f>W29</f>
        <v/>
      </c>
      <c r="Y26" s="36">
        <f>X29</f>
        <v/>
      </c>
      <c r="Z26" s="36">
        <f>Y29</f>
        <v/>
      </c>
      <c r="AA26" s="36">
        <f>Z29</f>
        <v/>
      </c>
      <c r="AB26" s="36">
        <f>AA29</f>
        <v/>
      </c>
      <c r="AC26" s="36">
        <f>AB29</f>
        <v/>
      </c>
      <c r="AD26" s="36">
        <f>AC29</f>
        <v/>
      </c>
      <c r="AE26" s="36">
        <f>AD29</f>
        <v/>
      </c>
      <c r="AF26" s="36">
        <f>AE29</f>
        <v/>
      </c>
      <c r="AG26" s="36">
        <f>AF29</f>
        <v/>
      </c>
      <c r="AH26" s="36">
        <f>AG29</f>
        <v/>
      </c>
      <c r="AI26" s="36">
        <f>AH29</f>
        <v/>
      </c>
      <c r="AJ26" s="36">
        <f>AI29</f>
        <v/>
      </c>
      <c r="AK26" s="36">
        <f>AJ29</f>
        <v/>
      </c>
      <c r="AL26" s="36">
        <f>AK29</f>
        <v/>
      </c>
      <c r="AN26" s="36">
        <f>INDEX($O26:$AL26,1,(AN$5-1)*12+1)</f>
        <v/>
      </c>
      <c r="AO26" s="36">
        <f>INDEX($O26:$AL26,1,(AO$5-1)*12+1)</f>
        <v/>
      </c>
    </row>
    <row r="27">
      <c r="A27" s="5" t="inlineStr">
        <is>
          <t>+ Capex</t>
        </is>
      </c>
      <c r="B27" s="2" t="inlineStr">
        <is>
          <t>GBP k</t>
        </is>
      </c>
      <c r="O27" s="36">
        <f>inp_capex_pct*IS!O12</f>
        <v/>
      </c>
      <c r="P27" s="36">
        <f>inp_capex_pct*IS!P12</f>
        <v/>
      </c>
      <c r="Q27" s="36">
        <f>inp_capex_pct*IS!Q12</f>
        <v/>
      </c>
      <c r="R27" s="36">
        <f>inp_capex_pct*IS!R12</f>
        <v/>
      </c>
      <c r="S27" s="36">
        <f>inp_capex_pct*IS!S12</f>
        <v/>
      </c>
      <c r="T27" s="36">
        <f>inp_capex_pct*IS!T12</f>
        <v/>
      </c>
      <c r="U27" s="36">
        <f>inp_capex_pct*IS!U12</f>
        <v/>
      </c>
      <c r="V27" s="36">
        <f>inp_capex_pct*IS!V12</f>
        <v/>
      </c>
      <c r="W27" s="36">
        <f>inp_capex_pct*IS!W12</f>
        <v/>
      </c>
      <c r="X27" s="36">
        <f>inp_capex_pct*IS!X12</f>
        <v/>
      </c>
      <c r="Y27" s="36">
        <f>inp_capex_pct*IS!Y12</f>
        <v/>
      </c>
      <c r="Z27" s="36">
        <f>inp_capex_pct*IS!Z12</f>
        <v/>
      </c>
      <c r="AA27" s="36">
        <f>inp_capex_pct*IS!AA12</f>
        <v/>
      </c>
      <c r="AB27" s="36">
        <f>inp_capex_pct*IS!AB12</f>
        <v/>
      </c>
      <c r="AC27" s="36">
        <f>inp_capex_pct*IS!AC12</f>
        <v/>
      </c>
      <c r="AD27" s="36">
        <f>inp_capex_pct*IS!AD12</f>
        <v/>
      </c>
      <c r="AE27" s="36">
        <f>inp_capex_pct*IS!AE12</f>
        <v/>
      </c>
      <c r="AF27" s="36">
        <f>inp_capex_pct*IS!AF12</f>
        <v/>
      </c>
      <c r="AG27" s="36">
        <f>inp_capex_pct*IS!AG12</f>
        <v/>
      </c>
      <c r="AH27" s="36">
        <f>inp_capex_pct*IS!AH12</f>
        <v/>
      </c>
      <c r="AI27" s="36">
        <f>inp_capex_pct*IS!AI12</f>
        <v/>
      </c>
      <c r="AJ27" s="36">
        <f>inp_capex_pct*IS!AJ12</f>
        <v/>
      </c>
      <c r="AK27" s="36">
        <f>inp_capex_pct*IS!AK12</f>
        <v/>
      </c>
      <c r="AL27" s="36">
        <f>inp_capex_pct*IS!AL12</f>
        <v/>
      </c>
      <c r="AN27" s="36">
        <f>SUMIF($O$5:$AL$5,AN$5,$O27:$AL27)</f>
        <v/>
      </c>
      <c r="AO27" s="36">
        <f>SUMIF($O$5:$AL$5,AO$5,$O27:$AL27)</f>
        <v/>
      </c>
    </row>
    <row r="28">
      <c r="A28" s="5" t="inlineStr">
        <is>
          <t>- Depreciation</t>
        </is>
      </c>
      <c r="B28" s="2" t="inlineStr">
        <is>
          <t>GBP k</t>
        </is>
      </c>
      <c r="O28" s="36">
        <f>O26/inp_dep_life</f>
        <v/>
      </c>
      <c r="P28" s="36">
        <f>P26/inp_dep_life</f>
        <v/>
      </c>
      <c r="Q28" s="36">
        <f>Q26/inp_dep_life</f>
        <v/>
      </c>
      <c r="R28" s="36">
        <f>R26/inp_dep_life</f>
        <v/>
      </c>
      <c r="S28" s="36">
        <f>S26/inp_dep_life</f>
        <v/>
      </c>
      <c r="T28" s="36">
        <f>T26/inp_dep_life</f>
        <v/>
      </c>
      <c r="U28" s="36">
        <f>U26/inp_dep_life</f>
        <v/>
      </c>
      <c r="V28" s="36">
        <f>V26/inp_dep_life</f>
        <v/>
      </c>
      <c r="W28" s="36">
        <f>W26/inp_dep_life</f>
        <v/>
      </c>
      <c r="X28" s="36">
        <f>X26/inp_dep_life</f>
        <v/>
      </c>
      <c r="Y28" s="36">
        <f>Y26/inp_dep_life</f>
        <v/>
      </c>
      <c r="Z28" s="36">
        <f>Z26/inp_dep_life</f>
        <v/>
      </c>
      <c r="AA28" s="36">
        <f>AA26/inp_dep_life</f>
        <v/>
      </c>
      <c r="AB28" s="36">
        <f>AB26/inp_dep_life</f>
        <v/>
      </c>
      <c r="AC28" s="36">
        <f>AC26/inp_dep_life</f>
        <v/>
      </c>
      <c r="AD28" s="36">
        <f>AD26/inp_dep_life</f>
        <v/>
      </c>
      <c r="AE28" s="36">
        <f>AE26/inp_dep_life</f>
        <v/>
      </c>
      <c r="AF28" s="36">
        <f>AF26/inp_dep_life</f>
        <v/>
      </c>
      <c r="AG28" s="36">
        <f>AG26/inp_dep_life</f>
        <v/>
      </c>
      <c r="AH28" s="36">
        <f>AH26/inp_dep_life</f>
        <v/>
      </c>
      <c r="AI28" s="36">
        <f>AI26/inp_dep_life</f>
        <v/>
      </c>
      <c r="AJ28" s="36">
        <f>AJ26/inp_dep_life</f>
        <v/>
      </c>
      <c r="AK28" s="36">
        <f>AK26/inp_dep_life</f>
        <v/>
      </c>
      <c r="AL28" s="36">
        <f>AL26/inp_dep_life</f>
        <v/>
      </c>
      <c r="AN28" s="36">
        <f>SUMIF($O$5:$AL$5,AN$5,$O28:$AL28)</f>
        <v/>
      </c>
      <c r="AO28" s="36">
        <f>SUMIF($O$5:$AL$5,AO$5,$O28:$AL28)</f>
        <v/>
      </c>
    </row>
    <row r="29">
      <c r="A29" s="37" t="inlineStr">
        <is>
          <t>Closing net book value</t>
        </is>
      </c>
      <c r="B29" s="38" t="inlineStr">
        <is>
          <t>GBP k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0">
        <f>inp_open_ppe</f>
        <v/>
      </c>
      <c r="O29" s="40">
        <f>O26+O27-O28</f>
        <v/>
      </c>
      <c r="P29" s="40">
        <f>P26+P27-P28</f>
        <v/>
      </c>
      <c r="Q29" s="40">
        <f>Q26+Q27-Q28</f>
        <v/>
      </c>
      <c r="R29" s="40">
        <f>R26+R27-R28</f>
        <v/>
      </c>
      <c r="S29" s="40">
        <f>S26+S27-S28</f>
        <v/>
      </c>
      <c r="T29" s="40">
        <f>T26+T27-T28</f>
        <v/>
      </c>
      <c r="U29" s="40">
        <f>U26+U27-U28</f>
        <v/>
      </c>
      <c r="V29" s="40">
        <f>V26+V27-V28</f>
        <v/>
      </c>
      <c r="W29" s="40">
        <f>W26+W27-W28</f>
        <v/>
      </c>
      <c r="X29" s="40">
        <f>X26+X27-X28</f>
        <v/>
      </c>
      <c r="Y29" s="40">
        <f>Y26+Y27-Y28</f>
        <v/>
      </c>
      <c r="Z29" s="40">
        <f>Z26+Z27-Z28</f>
        <v/>
      </c>
      <c r="AA29" s="40">
        <f>AA26+AA27-AA28</f>
        <v/>
      </c>
      <c r="AB29" s="40">
        <f>AB26+AB27-AB28</f>
        <v/>
      </c>
      <c r="AC29" s="40">
        <f>AC26+AC27-AC28</f>
        <v/>
      </c>
      <c r="AD29" s="40">
        <f>AD26+AD27-AD28</f>
        <v/>
      </c>
      <c r="AE29" s="40">
        <f>AE26+AE27-AE28</f>
        <v/>
      </c>
      <c r="AF29" s="40">
        <f>AF26+AF27-AF28</f>
        <v/>
      </c>
      <c r="AG29" s="40">
        <f>AG26+AG27-AG28</f>
        <v/>
      </c>
      <c r="AH29" s="40">
        <f>AH26+AH27-AH28</f>
        <v/>
      </c>
      <c r="AI29" s="40">
        <f>AI26+AI27-AI28</f>
        <v/>
      </c>
      <c r="AJ29" s="40">
        <f>AJ26+AJ27-AJ28</f>
        <v/>
      </c>
      <c r="AK29" s="40">
        <f>AK26+AK27-AK28</f>
        <v/>
      </c>
      <c r="AL29" s="40">
        <f>AL26+AL27-AL28</f>
        <v/>
      </c>
      <c r="AM29" s="39" t="n"/>
      <c r="AN29" s="40">
        <f>INDEX($O29:$AL29,1,AN$5*12)</f>
        <v/>
      </c>
      <c r="AO29" s="40">
        <f>INDEX($O29:$AL29,1,AO$5*12)</f>
        <v/>
      </c>
    </row>
    <row r="31">
      <c r="A31" s="13" t="inlineStr">
        <is>
          <t>Supporting schedule: non-payroll spend (drives payables)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5" t="inlineStr">
        <is>
          <t>Hosting, licences, delivery, marketing, other opex</t>
        </is>
      </c>
      <c r="B32" s="2" t="inlineStr">
        <is>
          <t>GBP k</t>
        </is>
      </c>
      <c r="O32" s="36">
        <f>COGS!O9+COGS!O10+COGS!O12+Headcount_Opex!O37+Headcount_Opex!O38+Headcount_Opex!O39</f>
        <v/>
      </c>
      <c r="P32" s="36">
        <f>COGS!P9+COGS!P10+COGS!P12+Headcount_Opex!P37+Headcount_Opex!P38+Headcount_Opex!P39</f>
        <v/>
      </c>
      <c r="Q32" s="36">
        <f>COGS!Q9+COGS!Q10+COGS!Q12+Headcount_Opex!Q37+Headcount_Opex!Q38+Headcount_Opex!Q39</f>
        <v/>
      </c>
      <c r="R32" s="36">
        <f>COGS!R9+COGS!R10+COGS!R12+Headcount_Opex!R37+Headcount_Opex!R38+Headcount_Opex!R39</f>
        <v/>
      </c>
      <c r="S32" s="36">
        <f>COGS!S9+COGS!S10+COGS!S12+Headcount_Opex!S37+Headcount_Opex!S38+Headcount_Opex!S39</f>
        <v/>
      </c>
      <c r="T32" s="36">
        <f>COGS!T9+COGS!T10+COGS!T12+Headcount_Opex!T37+Headcount_Opex!T38+Headcount_Opex!T39</f>
        <v/>
      </c>
      <c r="U32" s="36">
        <f>COGS!U9+COGS!U10+COGS!U12+Headcount_Opex!U37+Headcount_Opex!U38+Headcount_Opex!U39</f>
        <v/>
      </c>
      <c r="V32" s="36">
        <f>COGS!V9+COGS!V10+COGS!V12+Headcount_Opex!V37+Headcount_Opex!V38+Headcount_Opex!V39</f>
        <v/>
      </c>
      <c r="W32" s="36">
        <f>COGS!W9+COGS!W10+COGS!W12+Headcount_Opex!W37+Headcount_Opex!W38+Headcount_Opex!W39</f>
        <v/>
      </c>
      <c r="X32" s="36">
        <f>COGS!X9+COGS!X10+COGS!X12+Headcount_Opex!X37+Headcount_Opex!X38+Headcount_Opex!X39</f>
        <v/>
      </c>
      <c r="Y32" s="36">
        <f>COGS!Y9+COGS!Y10+COGS!Y12+Headcount_Opex!Y37+Headcount_Opex!Y38+Headcount_Opex!Y39</f>
        <v/>
      </c>
      <c r="Z32" s="36">
        <f>COGS!Z9+COGS!Z10+COGS!Z12+Headcount_Opex!Z37+Headcount_Opex!Z38+Headcount_Opex!Z39</f>
        <v/>
      </c>
      <c r="AA32" s="36">
        <f>COGS!AA9+COGS!AA10+COGS!AA12+Headcount_Opex!AA37+Headcount_Opex!AA38+Headcount_Opex!AA39</f>
        <v/>
      </c>
      <c r="AB32" s="36">
        <f>COGS!AB9+COGS!AB10+COGS!AB12+Headcount_Opex!AB37+Headcount_Opex!AB38+Headcount_Opex!AB39</f>
        <v/>
      </c>
      <c r="AC32" s="36">
        <f>COGS!AC9+COGS!AC10+COGS!AC12+Headcount_Opex!AC37+Headcount_Opex!AC38+Headcount_Opex!AC39</f>
        <v/>
      </c>
      <c r="AD32" s="36">
        <f>COGS!AD9+COGS!AD10+COGS!AD12+Headcount_Opex!AD37+Headcount_Opex!AD38+Headcount_Opex!AD39</f>
        <v/>
      </c>
      <c r="AE32" s="36">
        <f>COGS!AE9+COGS!AE10+COGS!AE12+Headcount_Opex!AE37+Headcount_Opex!AE38+Headcount_Opex!AE39</f>
        <v/>
      </c>
      <c r="AF32" s="36">
        <f>COGS!AF9+COGS!AF10+COGS!AF12+Headcount_Opex!AF37+Headcount_Opex!AF38+Headcount_Opex!AF39</f>
        <v/>
      </c>
      <c r="AG32" s="36">
        <f>COGS!AG9+COGS!AG10+COGS!AG12+Headcount_Opex!AG37+Headcount_Opex!AG38+Headcount_Opex!AG39</f>
        <v/>
      </c>
      <c r="AH32" s="36">
        <f>COGS!AH9+COGS!AH10+COGS!AH12+Headcount_Opex!AH37+Headcount_Opex!AH38+Headcount_Opex!AH39</f>
        <v/>
      </c>
      <c r="AI32" s="36">
        <f>COGS!AI9+COGS!AI10+COGS!AI12+Headcount_Opex!AI37+Headcount_Opex!AI38+Headcount_Opex!AI39</f>
        <v/>
      </c>
      <c r="AJ32" s="36">
        <f>COGS!AJ9+COGS!AJ10+COGS!AJ12+Headcount_Opex!AJ37+Headcount_Opex!AJ38+Headcount_Opex!AJ39</f>
        <v/>
      </c>
      <c r="AK32" s="36">
        <f>COGS!AK9+COGS!AK10+COGS!AK12+Headcount_Opex!AK37+Headcount_Opex!AK38+Headcount_Opex!AK39</f>
        <v/>
      </c>
      <c r="AL32" s="36">
        <f>COGS!AL9+COGS!AL10+COGS!AL12+Headcount_Opex!AL37+Headcount_Opex!AL38+Headcount_Opex!AL39</f>
        <v/>
      </c>
      <c r="AN32" s="36">
        <f>SUMIF($O$5:$AL$5,AN$5,$O32:$AL32)</f>
        <v/>
      </c>
      <c r="AO32" s="36">
        <f>SUMIF($O$5:$AL$5,AO$5,$O32:$AL32)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CF - cash flow statement (indirect)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Operating activities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Net income</t>
        </is>
      </c>
      <c r="B9" s="2" t="inlineStr">
        <is>
          <t>GBP k</t>
        </is>
      </c>
      <c r="O9" s="19">
        <f>IS!O36</f>
        <v/>
      </c>
      <c r="P9" s="19">
        <f>IS!P36</f>
        <v/>
      </c>
      <c r="Q9" s="19">
        <f>IS!Q36</f>
        <v/>
      </c>
      <c r="R9" s="19">
        <f>IS!R36</f>
        <v/>
      </c>
      <c r="S9" s="19">
        <f>IS!S36</f>
        <v/>
      </c>
      <c r="T9" s="19">
        <f>IS!T36</f>
        <v/>
      </c>
      <c r="U9" s="19">
        <f>IS!U36</f>
        <v/>
      </c>
      <c r="V9" s="19">
        <f>IS!V36</f>
        <v/>
      </c>
      <c r="W9" s="19">
        <f>IS!W36</f>
        <v/>
      </c>
      <c r="X9" s="19">
        <f>IS!X36</f>
        <v/>
      </c>
      <c r="Y9" s="19">
        <f>IS!Y36</f>
        <v/>
      </c>
      <c r="Z9" s="19">
        <f>IS!Z36</f>
        <v/>
      </c>
      <c r="AA9" s="19">
        <f>IS!AA36</f>
        <v/>
      </c>
      <c r="AB9" s="19">
        <f>IS!AB36</f>
        <v/>
      </c>
      <c r="AC9" s="19">
        <f>IS!AC36</f>
        <v/>
      </c>
      <c r="AD9" s="19">
        <f>IS!AD36</f>
        <v/>
      </c>
      <c r="AE9" s="19">
        <f>IS!AE36</f>
        <v/>
      </c>
      <c r="AF9" s="19">
        <f>IS!AF36</f>
        <v/>
      </c>
      <c r="AG9" s="19">
        <f>IS!AG36</f>
        <v/>
      </c>
      <c r="AH9" s="19">
        <f>IS!AH36</f>
        <v/>
      </c>
      <c r="AI9" s="19">
        <f>IS!AI36</f>
        <v/>
      </c>
      <c r="AJ9" s="19">
        <f>IS!AJ36</f>
        <v/>
      </c>
      <c r="AK9" s="19">
        <f>IS!AK36</f>
        <v/>
      </c>
      <c r="AL9" s="19">
        <f>IS!AL36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+ Depreciation</t>
        </is>
      </c>
      <c r="B10" s="2" t="inlineStr">
        <is>
          <t>GBP k</t>
        </is>
      </c>
      <c r="O10" s="19">
        <f>IS!O31</f>
        <v/>
      </c>
      <c r="P10" s="19">
        <f>IS!P31</f>
        <v/>
      </c>
      <c r="Q10" s="19">
        <f>IS!Q31</f>
        <v/>
      </c>
      <c r="R10" s="19">
        <f>IS!R31</f>
        <v/>
      </c>
      <c r="S10" s="19">
        <f>IS!S31</f>
        <v/>
      </c>
      <c r="T10" s="19">
        <f>IS!T31</f>
        <v/>
      </c>
      <c r="U10" s="19">
        <f>IS!U31</f>
        <v/>
      </c>
      <c r="V10" s="19">
        <f>IS!V31</f>
        <v/>
      </c>
      <c r="W10" s="19">
        <f>IS!W31</f>
        <v/>
      </c>
      <c r="X10" s="19">
        <f>IS!X31</f>
        <v/>
      </c>
      <c r="Y10" s="19">
        <f>IS!Y31</f>
        <v/>
      </c>
      <c r="Z10" s="19">
        <f>IS!Z31</f>
        <v/>
      </c>
      <c r="AA10" s="19">
        <f>IS!AA31</f>
        <v/>
      </c>
      <c r="AB10" s="19">
        <f>IS!AB31</f>
        <v/>
      </c>
      <c r="AC10" s="19">
        <f>IS!AC31</f>
        <v/>
      </c>
      <c r="AD10" s="19">
        <f>IS!AD31</f>
        <v/>
      </c>
      <c r="AE10" s="19">
        <f>IS!AE31</f>
        <v/>
      </c>
      <c r="AF10" s="19">
        <f>IS!AF31</f>
        <v/>
      </c>
      <c r="AG10" s="19">
        <f>IS!AG31</f>
        <v/>
      </c>
      <c r="AH10" s="19">
        <f>IS!AH31</f>
        <v/>
      </c>
      <c r="AI10" s="19">
        <f>IS!AI31</f>
        <v/>
      </c>
      <c r="AJ10" s="19">
        <f>IS!AJ31</f>
        <v/>
      </c>
      <c r="AK10" s="19">
        <f>IS!AK31</f>
        <v/>
      </c>
      <c r="AL10" s="19">
        <f>IS!AL31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(Increase) / decrease in receivables</t>
        </is>
      </c>
      <c r="B11" s="2" t="inlineStr">
        <is>
          <t>GBP k</t>
        </is>
      </c>
      <c r="O11" s="36">
        <f>-(BS!O10-BS!N10)</f>
        <v/>
      </c>
      <c r="P11" s="36">
        <f>-(BS!P10-BS!O10)</f>
        <v/>
      </c>
      <c r="Q11" s="36">
        <f>-(BS!Q10-BS!P10)</f>
        <v/>
      </c>
      <c r="R11" s="36">
        <f>-(BS!R10-BS!Q10)</f>
        <v/>
      </c>
      <c r="S11" s="36">
        <f>-(BS!S10-BS!R10)</f>
        <v/>
      </c>
      <c r="T11" s="36">
        <f>-(BS!T10-BS!S10)</f>
        <v/>
      </c>
      <c r="U11" s="36">
        <f>-(BS!U10-BS!T10)</f>
        <v/>
      </c>
      <c r="V11" s="36">
        <f>-(BS!V10-BS!U10)</f>
        <v/>
      </c>
      <c r="W11" s="36">
        <f>-(BS!W10-BS!V10)</f>
        <v/>
      </c>
      <c r="X11" s="36">
        <f>-(BS!X10-BS!W10)</f>
        <v/>
      </c>
      <c r="Y11" s="36">
        <f>-(BS!Y10-BS!X10)</f>
        <v/>
      </c>
      <c r="Z11" s="36">
        <f>-(BS!Z10-BS!Y10)</f>
        <v/>
      </c>
      <c r="AA11" s="36">
        <f>-(BS!AA10-BS!Z10)</f>
        <v/>
      </c>
      <c r="AB11" s="36">
        <f>-(BS!AB10-BS!AA10)</f>
        <v/>
      </c>
      <c r="AC11" s="36">
        <f>-(BS!AC10-BS!AB10)</f>
        <v/>
      </c>
      <c r="AD11" s="36">
        <f>-(BS!AD10-BS!AC10)</f>
        <v/>
      </c>
      <c r="AE11" s="36">
        <f>-(BS!AE10-BS!AD10)</f>
        <v/>
      </c>
      <c r="AF11" s="36">
        <f>-(BS!AF10-BS!AE10)</f>
        <v/>
      </c>
      <c r="AG11" s="36">
        <f>-(BS!AG10-BS!AF10)</f>
        <v/>
      </c>
      <c r="AH11" s="36">
        <f>-(BS!AH10-BS!AG10)</f>
        <v/>
      </c>
      <c r="AI11" s="36">
        <f>-(BS!AI10-BS!AH10)</f>
        <v/>
      </c>
      <c r="AJ11" s="36">
        <f>-(BS!AJ10-BS!AI10)</f>
        <v/>
      </c>
      <c r="AK11" s="36">
        <f>-(BS!AK10-BS!AJ10)</f>
        <v/>
      </c>
      <c r="AL11" s="36">
        <f>-(BS!AL10-BS!AK10)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Increase / (decrease) in payables</t>
        </is>
      </c>
      <c r="B12" s="2" t="inlineStr">
        <is>
          <t>GBP k</t>
        </is>
      </c>
      <c r="O12" s="36">
        <f>BS!O16-BS!N16</f>
        <v/>
      </c>
      <c r="P12" s="36">
        <f>BS!P16-BS!O16</f>
        <v/>
      </c>
      <c r="Q12" s="36">
        <f>BS!Q16-BS!P16</f>
        <v/>
      </c>
      <c r="R12" s="36">
        <f>BS!R16-BS!Q16</f>
        <v/>
      </c>
      <c r="S12" s="36">
        <f>BS!S16-BS!R16</f>
        <v/>
      </c>
      <c r="T12" s="36">
        <f>BS!T16-BS!S16</f>
        <v/>
      </c>
      <c r="U12" s="36">
        <f>BS!U16-BS!T16</f>
        <v/>
      </c>
      <c r="V12" s="36">
        <f>BS!V16-BS!U16</f>
        <v/>
      </c>
      <c r="W12" s="36">
        <f>BS!W16-BS!V16</f>
        <v/>
      </c>
      <c r="X12" s="36">
        <f>BS!X16-BS!W16</f>
        <v/>
      </c>
      <c r="Y12" s="36">
        <f>BS!Y16-BS!X16</f>
        <v/>
      </c>
      <c r="Z12" s="36">
        <f>BS!Z16-BS!Y16</f>
        <v/>
      </c>
      <c r="AA12" s="36">
        <f>BS!AA16-BS!Z16</f>
        <v/>
      </c>
      <c r="AB12" s="36">
        <f>BS!AB16-BS!AA16</f>
        <v/>
      </c>
      <c r="AC12" s="36">
        <f>BS!AC16-BS!AB16</f>
        <v/>
      </c>
      <c r="AD12" s="36">
        <f>BS!AD16-BS!AC16</f>
        <v/>
      </c>
      <c r="AE12" s="36">
        <f>BS!AE16-BS!AD16</f>
        <v/>
      </c>
      <c r="AF12" s="36">
        <f>BS!AF16-BS!AE16</f>
        <v/>
      </c>
      <c r="AG12" s="36">
        <f>BS!AG16-BS!AF16</f>
        <v/>
      </c>
      <c r="AH12" s="36">
        <f>BS!AH16-BS!AG16</f>
        <v/>
      </c>
      <c r="AI12" s="36">
        <f>BS!AI16-BS!AH16</f>
        <v/>
      </c>
      <c r="AJ12" s="36">
        <f>BS!AJ16-BS!AI16</f>
        <v/>
      </c>
      <c r="AK12" s="36">
        <f>BS!AK16-BS!AJ16</f>
        <v/>
      </c>
      <c r="AL12" s="36">
        <f>BS!AL16-BS!AK16</f>
        <v/>
      </c>
      <c r="AN12" s="36">
        <f>SUMIF($O$5:$AL$5,AN$5,$O12:$AL12)</f>
        <v/>
      </c>
      <c r="AO12" s="36">
        <f>SUMIF($O$5:$AL$5,AO$5,$O12:$AL12)</f>
        <v/>
      </c>
    </row>
    <row r="13">
      <c r="A13" s="5" t="inlineStr">
        <is>
          <t>Increase / (decrease) in deferred revenue</t>
        </is>
      </c>
      <c r="B13" s="2" t="inlineStr">
        <is>
          <t>GBP k</t>
        </is>
      </c>
      <c r="O13" s="36">
        <f>BS!O17-BS!N17</f>
        <v/>
      </c>
      <c r="P13" s="36">
        <f>BS!P17-BS!O17</f>
        <v/>
      </c>
      <c r="Q13" s="36">
        <f>BS!Q17-BS!P17</f>
        <v/>
      </c>
      <c r="R13" s="36">
        <f>BS!R17-BS!Q17</f>
        <v/>
      </c>
      <c r="S13" s="36">
        <f>BS!S17-BS!R17</f>
        <v/>
      </c>
      <c r="T13" s="36">
        <f>BS!T17-BS!S17</f>
        <v/>
      </c>
      <c r="U13" s="36">
        <f>BS!U17-BS!T17</f>
        <v/>
      </c>
      <c r="V13" s="36">
        <f>BS!V17-BS!U17</f>
        <v/>
      </c>
      <c r="W13" s="36">
        <f>BS!W17-BS!V17</f>
        <v/>
      </c>
      <c r="X13" s="36">
        <f>BS!X17-BS!W17</f>
        <v/>
      </c>
      <c r="Y13" s="36">
        <f>BS!Y17-BS!X17</f>
        <v/>
      </c>
      <c r="Z13" s="36">
        <f>BS!Z17-BS!Y17</f>
        <v/>
      </c>
      <c r="AA13" s="36">
        <f>BS!AA17-BS!Z17</f>
        <v/>
      </c>
      <c r="AB13" s="36">
        <f>BS!AB17-BS!AA17</f>
        <v/>
      </c>
      <c r="AC13" s="36">
        <f>BS!AC17-BS!AB17</f>
        <v/>
      </c>
      <c r="AD13" s="36">
        <f>BS!AD17-BS!AC17</f>
        <v/>
      </c>
      <c r="AE13" s="36">
        <f>BS!AE17-BS!AD17</f>
        <v/>
      </c>
      <c r="AF13" s="36">
        <f>BS!AF17-BS!AE17</f>
        <v/>
      </c>
      <c r="AG13" s="36">
        <f>BS!AG17-BS!AF17</f>
        <v/>
      </c>
      <c r="AH13" s="36">
        <f>BS!AH17-BS!AG17</f>
        <v/>
      </c>
      <c r="AI13" s="36">
        <f>BS!AI17-BS!AH17</f>
        <v/>
      </c>
      <c r="AJ13" s="36">
        <f>BS!AJ17-BS!AI17</f>
        <v/>
      </c>
      <c r="AK13" s="36">
        <f>BS!AK17-BS!AJ17</f>
        <v/>
      </c>
      <c r="AL13" s="36">
        <f>BS!AL17-BS!AK17</f>
        <v/>
      </c>
      <c r="AN13" s="36">
        <f>SUMIF($O$5:$AL$5,AN$5,$O13:$AL13)</f>
        <v/>
      </c>
      <c r="AO13" s="36">
        <f>SUMIF($O$5:$AL$5,AO$5,$O13:$AL13)</f>
        <v/>
      </c>
    </row>
    <row r="14">
      <c r="A14" s="5" t="inlineStr">
        <is>
          <t>(Increase) / decrease in capitalised contract costs</t>
        </is>
      </c>
      <c r="B14" s="2" t="inlineStr">
        <is>
          <t>GBP k</t>
        </is>
      </c>
      <c r="O14" s="36">
        <f>-(BS!O12-BS!N12)</f>
        <v/>
      </c>
      <c r="P14" s="36">
        <f>-(BS!P12-BS!O12)</f>
        <v/>
      </c>
      <c r="Q14" s="36">
        <f>-(BS!Q12-BS!P12)</f>
        <v/>
      </c>
      <c r="R14" s="36">
        <f>-(BS!R12-BS!Q12)</f>
        <v/>
      </c>
      <c r="S14" s="36">
        <f>-(BS!S12-BS!R12)</f>
        <v/>
      </c>
      <c r="T14" s="36">
        <f>-(BS!T12-BS!S12)</f>
        <v/>
      </c>
      <c r="U14" s="36">
        <f>-(BS!U12-BS!T12)</f>
        <v/>
      </c>
      <c r="V14" s="36">
        <f>-(BS!V12-BS!U12)</f>
        <v/>
      </c>
      <c r="W14" s="36">
        <f>-(BS!W12-BS!V12)</f>
        <v/>
      </c>
      <c r="X14" s="36">
        <f>-(BS!X12-BS!W12)</f>
        <v/>
      </c>
      <c r="Y14" s="36">
        <f>-(BS!Y12-BS!X12)</f>
        <v/>
      </c>
      <c r="Z14" s="36">
        <f>-(BS!Z12-BS!Y12)</f>
        <v/>
      </c>
      <c r="AA14" s="36">
        <f>-(BS!AA12-BS!Z12)</f>
        <v/>
      </c>
      <c r="AB14" s="36">
        <f>-(BS!AB12-BS!AA12)</f>
        <v/>
      </c>
      <c r="AC14" s="36">
        <f>-(BS!AC12-BS!AB12)</f>
        <v/>
      </c>
      <c r="AD14" s="36">
        <f>-(BS!AD12-BS!AC12)</f>
        <v/>
      </c>
      <c r="AE14" s="36">
        <f>-(BS!AE12-BS!AD12)</f>
        <v/>
      </c>
      <c r="AF14" s="36">
        <f>-(BS!AF12-BS!AE12)</f>
        <v/>
      </c>
      <c r="AG14" s="36">
        <f>-(BS!AG12-BS!AF12)</f>
        <v/>
      </c>
      <c r="AH14" s="36">
        <f>-(BS!AH12-BS!AG12)</f>
        <v/>
      </c>
      <c r="AI14" s="36">
        <f>-(BS!AI12-BS!AH12)</f>
        <v/>
      </c>
      <c r="AJ14" s="36">
        <f>-(BS!AJ12-BS!AI12)</f>
        <v/>
      </c>
      <c r="AK14" s="36">
        <f>-(BS!AK12-BS!AJ12)</f>
        <v/>
      </c>
      <c r="AL14" s="36">
        <f>-(BS!AL12-BS!AK12)</f>
        <v/>
      </c>
      <c r="AN14" s="36">
        <f>SUMIF($O$5:$AL$5,AN$5,$O14:$AL14)</f>
        <v/>
      </c>
      <c r="AO14" s="36">
        <f>SUMIF($O$5:$AL$5,AO$5,$O14:$AL14)</f>
        <v/>
      </c>
    </row>
    <row r="15">
      <c r="A15" s="37" t="inlineStr">
        <is>
          <t>Cash flow from operations</t>
        </is>
      </c>
      <c r="B15" s="38" t="inlineStr">
        <is>
          <t>GBP k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>
        <f>SUM(O9:O14)</f>
        <v/>
      </c>
      <c r="P15" s="40">
        <f>SUM(P9:P14)</f>
        <v/>
      </c>
      <c r="Q15" s="40">
        <f>SUM(Q9:Q14)</f>
        <v/>
      </c>
      <c r="R15" s="40">
        <f>SUM(R9:R14)</f>
        <v/>
      </c>
      <c r="S15" s="40">
        <f>SUM(S9:S14)</f>
        <v/>
      </c>
      <c r="T15" s="40">
        <f>SUM(T9:T14)</f>
        <v/>
      </c>
      <c r="U15" s="40">
        <f>SUM(U9:U14)</f>
        <v/>
      </c>
      <c r="V15" s="40">
        <f>SUM(V9:V14)</f>
        <v/>
      </c>
      <c r="W15" s="40">
        <f>SUM(W9:W14)</f>
        <v/>
      </c>
      <c r="X15" s="40">
        <f>SUM(X9:X14)</f>
        <v/>
      </c>
      <c r="Y15" s="40">
        <f>SUM(Y9:Y14)</f>
        <v/>
      </c>
      <c r="Z15" s="40">
        <f>SUM(Z9:Z14)</f>
        <v/>
      </c>
      <c r="AA15" s="40">
        <f>SUM(AA9:AA14)</f>
        <v/>
      </c>
      <c r="AB15" s="40">
        <f>SUM(AB9:AB14)</f>
        <v/>
      </c>
      <c r="AC15" s="40">
        <f>SUM(AC9:AC14)</f>
        <v/>
      </c>
      <c r="AD15" s="40">
        <f>SUM(AD9:AD14)</f>
        <v/>
      </c>
      <c r="AE15" s="40">
        <f>SUM(AE9:AE14)</f>
        <v/>
      </c>
      <c r="AF15" s="40">
        <f>SUM(AF9:AF14)</f>
        <v/>
      </c>
      <c r="AG15" s="40">
        <f>SUM(AG9:AG14)</f>
        <v/>
      </c>
      <c r="AH15" s="40">
        <f>SUM(AH9:AH14)</f>
        <v/>
      </c>
      <c r="AI15" s="40">
        <f>SUM(AI9:AI14)</f>
        <v/>
      </c>
      <c r="AJ15" s="40">
        <f>SUM(AJ9:AJ14)</f>
        <v/>
      </c>
      <c r="AK15" s="40">
        <f>SUM(AK9:AK14)</f>
        <v/>
      </c>
      <c r="AL15" s="40">
        <f>SUM(AL9:AL14)</f>
        <v/>
      </c>
      <c r="AM15" s="39" t="n"/>
      <c r="AN15" s="40">
        <f>SUMIF($O$5:$AL$5,AN$5,$O15:$AL15)</f>
        <v/>
      </c>
      <c r="AO15" s="40">
        <f>SUMIF($O$5:$AL$5,AO$5,$O15:$AL15)</f>
        <v/>
      </c>
    </row>
    <row r="17">
      <c r="A17" s="13" t="inlineStr">
        <is>
          <t>Investing activities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5" t="inlineStr">
        <is>
          <t>Capex</t>
        </is>
      </c>
      <c r="B18" s="2" t="inlineStr">
        <is>
          <t>GBP k</t>
        </is>
      </c>
      <c r="O18" s="36">
        <f>-BS!O27</f>
        <v/>
      </c>
      <c r="P18" s="36">
        <f>-BS!P27</f>
        <v/>
      </c>
      <c r="Q18" s="36">
        <f>-BS!Q27</f>
        <v/>
      </c>
      <c r="R18" s="36">
        <f>-BS!R27</f>
        <v/>
      </c>
      <c r="S18" s="36">
        <f>-BS!S27</f>
        <v/>
      </c>
      <c r="T18" s="36">
        <f>-BS!T27</f>
        <v/>
      </c>
      <c r="U18" s="36">
        <f>-BS!U27</f>
        <v/>
      </c>
      <c r="V18" s="36">
        <f>-BS!V27</f>
        <v/>
      </c>
      <c r="W18" s="36">
        <f>-BS!W27</f>
        <v/>
      </c>
      <c r="X18" s="36">
        <f>-BS!X27</f>
        <v/>
      </c>
      <c r="Y18" s="36">
        <f>-BS!Y27</f>
        <v/>
      </c>
      <c r="Z18" s="36">
        <f>-BS!Z27</f>
        <v/>
      </c>
      <c r="AA18" s="36">
        <f>-BS!AA27</f>
        <v/>
      </c>
      <c r="AB18" s="36">
        <f>-BS!AB27</f>
        <v/>
      </c>
      <c r="AC18" s="36">
        <f>-BS!AC27</f>
        <v/>
      </c>
      <c r="AD18" s="36">
        <f>-BS!AD27</f>
        <v/>
      </c>
      <c r="AE18" s="36">
        <f>-BS!AE27</f>
        <v/>
      </c>
      <c r="AF18" s="36">
        <f>-BS!AF27</f>
        <v/>
      </c>
      <c r="AG18" s="36">
        <f>-BS!AG27</f>
        <v/>
      </c>
      <c r="AH18" s="36">
        <f>-BS!AH27</f>
        <v/>
      </c>
      <c r="AI18" s="36">
        <f>-BS!AI27</f>
        <v/>
      </c>
      <c r="AJ18" s="36">
        <f>-BS!AJ27</f>
        <v/>
      </c>
      <c r="AK18" s="36">
        <f>-BS!AK27</f>
        <v/>
      </c>
      <c r="AL18" s="36">
        <f>-BS!AL27</f>
        <v/>
      </c>
      <c r="AN18" s="36">
        <f>SUMIF($O$5:$AL$5,AN$5,$O18:$AL18)</f>
        <v/>
      </c>
      <c r="AO18" s="36">
        <f>SUMIF($O$5:$AL$5,AO$5,$O18:$AL18)</f>
        <v/>
      </c>
    </row>
    <row r="19">
      <c r="A19" s="37" t="inlineStr">
        <is>
          <t>Cash flow from investing</t>
        </is>
      </c>
      <c r="B19" s="38" t="inlineStr">
        <is>
          <t>GBP k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40">
        <f>O18</f>
        <v/>
      </c>
      <c r="P19" s="40">
        <f>P18</f>
        <v/>
      </c>
      <c r="Q19" s="40">
        <f>Q18</f>
        <v/>
      </c>
      <c r="R19" s="40">
        <f>R18</f>
        <v/>
      </c>
      <c r="S19" s="40">
        <f>S18</f>
        <v/>
      </c>
      <c r="T19" s="40">
        <f>T18</f>
        <v/>
      </c>
      <c r="U19" s="40">
        <f>U18</f>
        <v/>
      </c>
      <c r="V19" s="40">
        <f>V18</f>
        <v/>
      </c>
      <c r="W19" s="40">
        <f>W18</f>
        <v/>
      </c>
      <c r="X19" s="40">
        <f>X18</f>
        <v/>
      </c>
      <c r="Y19" s="40">
        <f>Y18</f>
        <v/>
      </c>
      <c r="Z19" s="40">
        <f>Z18</f>
        <v/>
      </c>
      <c r="AA19" s="40">
        <f>AA18</f>
        <v/>
      </c>
      <c r="AB19" s="40">
        <f>AB18</f>
        <v/>
      </c>
      <c r="AC19" s="40">
        <f>AC18</f>
        <v/>
      </c>
      <c r="AD19" s="40">
        <f>AD18</f>
        <v/>
      </c>
      <c r="AE19" s="40">
        <f>AE18</f>
        <v/>
      </c>
      <c r="AF19" s="40">
        <f>AF18</f>
        <v/>
      </c>
      <c r="AG19" s="40">
        <f>AG18</f>
        <v/>
      </c>
      <c r="AH19" s="40">
        <f>AH18</f>
        <v/>
      </c>
      <c r="AI19" s="40">
        <f>AI18</f>
        <v/>
      </c>
      <c r="AJ19" s="40">
        <f>AJ18</f>
        <v/>
      </c>
      <c r="AK19" s="40">
        <f>AK18</f>
        <v/>
      </c>
      <c r="AL19" s="40">
        <f>AL18</f>
        <v/>
      </c>
      <c r="AM19" s="39" t="n"/>
      <c r="AN19" s="40">
        <f>SUMIF($O$5:$AL$5,AN$5,$O19:$AL19)</f>
        <v/>
      </c>
      <c r="AO19" s="40">
        <f>SUMIF($O$5:$AL$5,AO$5,$O19:$AL19)</f>
        <v/>
      </c>
    </row>
    <row r="21">
      <c r="A21" s="13" t="inlineStr">
        <is>
          <t>Net cash flow and cash balance (no financing flows in the MVP)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3" t="inlineStr">
        <is>
          <t>Net change in cash (= free cash flow)</t>
        </is>
      </c>
      <c r="B22" s="2" t="inlineStr">
        <is>
          <t>GBP k</t>
        </is>
      </c>
      <c r="O22" s="42">
        <f>O15+O19</f>
        <v/>
      </c>
      <c r="P22" s="42">
        <f>P15+P19</f>
        <v/>
      </c>
      <c r="Q22" s="42">
        <f>Q15+Q19</f>
        <v/>
      </c>
      <c r="R22" s="42">
        <f>R15+R19</f>
        <v/>
      </c>
      <c r="S22" s="42">
        <f>S15+S19</f>
        <v/>
      </c>
      <c r="T22" s="42">
        <f>T15+T19</f>
        <v/>
      </c>
      <c r="U22" s="42">
        <f>U15+U19</f>
        <v/>
      </c>
      <c r="V22" s="42">
        <f>V15+V19</f>
        <v/>
      </c>
      <c r="W22" s="42">
        <f>W15+W19</f>
        <v/>
      </c>
      <c r="X22" s="42">
        <f>X15+X19</f>
        <v/>
      </c>
      <c r="Y22" s="42">
        <f>Y15+Y19</f>
        <v/>
      </c>
      <c r="Z22" s="42">
        <f>Z15+Z19</f>
        <v/>
      </c>
      <c r="AA22" s="42">
        <f>AA15+AA19</f>
        <v/>
      </c>
      <c r="AB22" s="42">
        <f>AB15+AB19</f>
        <v/>
      </c>
      <c r="AC22" s="42">
        <f>AC15+AC19</f>
        <v/>
      </c>
      <c r="AD22" s="42">
        <f>AD15+AD19</f>
        <v/>
      </c>
      <c r="AE22" s="42">
        <f>AE15+AE19</f>
        <v/>
      </c>
      <c r="AF22" s="42">
        <f>AF15+AF19</f>
        <v/>
      </c>
      <c r="AG22" s="42">
        <f>AG15+AG19</f>
        <v/>
      </c>
      <c r="AH22" s="42">
        <f>AH15+AH19</f>
        <v/>
      </c>
      <c r="AI22" s="42">
        <f>AI15+AI19</f>
        <v/>
      </c>
      <c r="AJ22" s="42">
        <f>AJ15+AJ19</f>
        <v/>
      </c>
      <c r="AK22" s="42">
        <f>AK15+AK19</f>
        <v/>
      </c>
      <c r="AL22" s="42">
        <f>AL15+AL19</f>
        <v/>
      </c>
      <c r="AN22" s="42">
        <f>SUMIF($O$5:$AL$5,AN$5,$O22:$AL22)</f>
        <v/>
      </c>
      <c r="AO22" s="42">
        <f>SUMIF($O$5:$AL$5,AO$5,$O22:$AL22)</f>
        <v/>
      </c>
    </row>
    <row r="23">
      <c r="A23" s="5" t="inlineStr">
        <is>
          <t>Opening cash</t>
        </is>
      </c>
      <c r="B23" s="2" t="inlineStr">
        <is>
          <t>GBP k</t>
        </is>
      </c>
      <c r="O23" s="36">
        <f>N24</f>
        <v/>
      </c>
      <c r="P23" s="36">
        <f>O24</f>
        <v/>
      </c>
      <c r="Q23" s="36">
        <f>P24</f>
        <v/>
      </c>
      <c r="R23" s="36">
        <f>Q24</f>
        <v/>
      </c>
      <c r="S23" s="36">
        <f>R24</f>
        <v/>
      </c>
      <c r="T23" s="36">
        <f>S24</f>
        <v/>
      </c>
      <c r="U23" s="36">
        <f>T24</f>
        <v/>
      </c>
      <c r="V23" s="36">
        <f>U24</f>
        <v/>
      </c>
      <c r="W23" s="36">
        <f>V24</f>
        <v/>
      </c>
      <c r="X23" s="36">
        <f>W24</f>
        <v/>
      </c>
      <c r="Y23" s="36">
        <f>X24</f>
        <v/>
      </c>
      <c r="Z23" s="36">
        <f>Y24</f>
        <v/>
      </c>
      <c r="AA23" s="36">
        <f>Z24</f>
        <v/>
      </c>
      <c r="AB23" s="36">
        <f>AA24</f>
        <v/>
      </c>
      <c r="AC23" s="36">
        <f>AB24</f>
        <v/>
      </c>
      <c r="AD23" s="36">
        <f>AC24</f>
        <v/>
      </c>
      <c r="AE23" s="36">
        <f>AD24</f>
        <v/>
      </c>
      <c r="AF23" s="36">
        <f>AE24</f>
        <v/>
      </c>
      <c r="AG23" s="36">
        <f>AF24</f>
        <v/>
      </c>
      <c r="AH23" s="36">
        <f>AG24</f>
        <v/>
      </c>
      <c r="AI23" s="36">
        <f>AH24</f>
        <v/>
      </c>
      <c r="AJ23" s="36">
        <f>AI24</f>
        <v/>
      </c>
      <c r="AK23" s="36">
        <f>AJ24</f>
        <v/>
      </c>
      <c r="AL23" s="36">
        <f>AK24</f>
        <v/>
      </c>
      <c r="AN23" s="36">
        <f>INDEX($O23:$AL23,1,(AN$5-1)*12+1)</f>
        <v/>
      </c>
      <c r="AO23" s="36">
        <f>INDEX($O23:$AL23,1,(AO$5-1)*12+1)</f>
        <v/>
      </c>
    </row>
    <row r="24">
      <c r="A24" s="37" t="inlineStr">
        <is>
          <t>Closing cash</t>
        </is>
      </c>
      <c r="B24" s="38" t="inlineStr">
        <is>
          <t>GBP k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40">
        <f>inp_open_cash</f>
        <v/>
      </c>
      <c r="O24" s="40">
        <f>O23+O22</f>
        <v/>
      </c>
      <c r="P24" s="40">
        <f>P23+P22</f>
        <v/>
      </c>
      <c r="Q24" s="40">
        <f>Q23+Q22</f>
        <v/>
      </c>
      <c r="R24" s="40">
        <f>R23+R22</f>
        <v/>
      </c>
      <c r="S24" s="40">
        <f>S23+S22</f>
        <v/>
      </c>
      <c r="T24" s="40">
        <f>T23+T22</f>
        <v/>
      </c>
      <c r="U24" s="40">
        <f>U23+U22</f>
        <v/>
      </c>
      <c r="V24" s="40">
        <f>V23+V22</f>
        <v/>
      </c>
      <c r="W24" s="40">
        <f>W23+W22</f>
        <v/>
      </c>
      <c r="X24" s="40">
        <f>X23+X22</f>
        <v/>
      </c>
      <c r="Y24" s="40">
        <f>Y23+Y22</f>
        <v/>
      </c>
      <c r="Z24" s="40">
        <f>Z23+Z22</f>
        <v/>
      </c>
      <c r="AA24" s="40">
        <f>AA23+AA22</f>
        <v/>
      </c>
      <c r="AB24" s="40">
        <f>AB23+AB22</f>
        <v/>
      </c>
      <c r="AC24" s="40">
        <f>AC23+AC22</f>
        <v/>
      </c>
      <c r="AD24" s="40">
        <f>AD23+AD22</f>
        <v/>
      </c>
      <c r="AE24" s="40">
        <f>AE23+AE22</f>
        <v/>
      </c>
      <c r="AF24" s="40">
        <f>AF23+AF22</f>
        <v/>
      </c>
      <c r="AG24" s="40">
        <f>AG23+AG22</f>
        <v/>
      </c>
      <c r="AH24" s="40">
        <f>AH23+AH22</f>
        <v/>
      </c>
      <c r="AI24" s="40">
        <f>AI23+AI22</f>
        <v/>
      </c>
      <c r="AJ24" s="40">
        <f>AJ23+AJ22</f>
        <v/>
      </c>
      <c r="AK24" s="40">
        <f>AK23+AK22</f>
        <v/>
      </c>
      <c r="AL24" s="40">
        <f>AL23+AL22</f>
        <v/>
      </c>
      <c r="AM24" s="39" t="n"/>
      <c r="AN24" s="40">
        <f>INDEX($O24:$AL24,1,AN$5*12)</f>
        <v/>
      </c>
      <c r="AO24" s="40">
        <f>INDEX($O24:$AL24,1,AO$5*12)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SaaS_Metrics - ARR bridge and unit economics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7"/>
    <row r="8">
      <c r="A8" s="13" t="inlineStr">
        <is>
          <t>ARR bridge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Opening ARR</t>
        </is>
      </c>
      <c r="B9" s="2" t="inlineStr">
        <is>
          <t>GBP k</t>
        </is>
      </c>
      <c r="O9" s="19">
        <f>Rev_Build!O43</f>
        <v/>
      </c>
      <c r="P9" s="19">
        <f>Rev_Build!P43</f>
        <v/>
      </c>
      <c r="Q9" s="19">
        <f>Rev_Build!Q43</f>
        <v/>
      </c>
      <c r="R9" s="19">
        <f>Rev_Build!R43</f>
        <v/>
      </c>
      <c r="S9" s="19">
        <f>Rev_Build!S43</f>
        <v/>
      </c>
      <c r="T9" s="19">
        <f>Rev_Build!T43</f>
        <v/>
      </c>
      <c r="U9" s="19">
        <f>Rev_Build!U43</f>
        <v/>
      </c>
      <c r="V9" s="19">
        <f>Rev_Build!V43</f>
        <v/>
      </c>
      <c r="W9" s="19">
        <f>Rev_Build!W43</f>
        <v/>
      </c>
      <c r="X9" s="19">
        <f>Rev_Build!X43</f>
        <v/>
      </c>
      <c r="Y9" s="19">
        <f>Rev_Build!Y43</f>
        <v/>
      </c>
      <c r="Z9" s="19">
        <f>Rev_Build!Z43</f>
        <v/>
      </c>
      <c r="AA9" s="19">
        <f>Rev_Build!AA43</f>
        <v/>
      </c>
      <c r="AB9" s="19">
        <f>Rev_Build!AB43</f>
        <v/>
      </c>
      <c r="AC9" s="19">
        <f>Rev_Build!AC43</f>
        <v/>
      </c>
      <c r="AD9" s="19">
        <f>Rev_Build!AD43</f>
        <v/>
      </c>
      <c r="AE9" s="19">
        <f>Rev_Build!AE43</f>
        <v/>
      </c>
      <c r="AF9" s="19">
        <f>Rev_Build!AF43</f>
        <v/>
      </c>
      <c r="AG9" s="19">
        <f>Rev_Build!AG43</f>
        <v/>
      </c>
      <c r="AH9" s="19">
        <f>Rev_Build!AH43</f>
        <v/>
      </c>
      <c r="AI9" s="19">
        <f>Rev_Build!AI43</f>
        <v/>
      </c>
      <c r="AJ9" s="19">
        <f>Rev_Build!AJ43</f>
        <v/>
      </c>
      <c r="AK9" s="19">
        <f>Rev_Build!AK43</f>
        <v/>
      </c>
      <c r="AL9" s="19">
        <f>Rev_Build!AL43</f>
        <v/>
      </c>
      <c r="AN9" s="36">
        <f>INDEX($O9:$AL9,1,(AN$5-1)*12+1)</f>
        <v/>
      </c>
      <c r="AO9" s="36">
        <f>INDEX($O9:$AL9,1,(AO$5-1)*12+1)</f>
        <v/>
      </c>
    </row>
    <row r="10">
      <c r="A10" s="5" t="inlineStr">
        <is>
          <t>+ New logos</t>
        </is>
      </c>
      <c r="B10" s="2" t="inlineStr">
        <is>
          <t>GBP k</t>
        </is>
      </c>
      <c r="O10" s="19">
        <f>Rev_Build!O44</f>
        <v/>
      </c>
      <c r="P10" s="19">
        <f>Rev_Build!P44</f>
        <v/>
      </c>
      <c r="Q10" s="19">
        <f>Rev_Build!Q44</f>
        <v/>
      </c>
      <c r="R10" s="19">
        <f>Rev_Build!R44</f>
        <v/>
      </c>
      <c r="S10" s="19">
        <f>Rev_Build!S44</f>
        <v/>
      </c>
      <c r="T10" s="19">
        <f>Rev_Build!T44</f>
        <v/>
      </c>
      <c r="U10" s="19">
        <f>Rev_Build!U44</f>
        <v/>
      </c>
      <c r="V10" s="19">
        <f>Rev_Build!V44</f>
        <v/>
      </c>
      <c r="W10" s="19">
        <f>Rev_Build!W44</f>
        <v/>
      </c>
      <c r="X10" s="19">
        <f>Rev_Build!X44</f>
        <v/>
      </c>
      <c r="Y10" s="19">
        <f>Rev_Build!Y44</f>
        <v/>
      </c>
      <c r="Z10" s="19">
        <f>Rev_Build!Z44</f>
        <v/>
      </c>
      <c r="AA10" s="19">
        <f>Rev_Build!AA44</f>
        <v/>
      </c>
      <c r="AB10" s="19">
        <f>Rev_Build!AB44</f>
        <v/>
      </c>
      <c r="AC10" s="19">
        <f>Rev_Build!AC44</f>
        <v/>
      </c>
      <c r="AD10" s="19">
        <f>Rev_Build!AD44</f>
        <v/>
      </c>
      <c r="AE10" s="19">
        <f>Rev_Build!AE44</f>
        <v/>
      </c>
      <c r="AF10" s="19">
        <f>Rev_Build!AF44</f>
        <v/>
      </c>
      <c r="AG10" s="19">
        <f>Rev_Build!AG44</f>
        <v/>
      </c>
      <c r="AH10" s="19">
        <f>Rev_Build!AH44</f>
        <v/>
      </c>
      <c r="AI10" s="19">
        <f>Rev_Build!AI44</f>
        <v/>
      </c>
      <c r="AJ10" s="19">
        <f>Rev_Build!AJ44</f>
        <v/>
      </c>
      <c r="AK10" s="19">
        <f>Rev_Build!AK44</f>
        <v/>
      </c>
      <c r="AL10" s="19">
        <f>Rev_Build!AL44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+ Expansion</t>
        </is>
      </c>
      <c r="B11" s="2" t="inlineStr">
        <is>
          <t>GBP k</t>
        </is>
      </c>
      <c r="O11" s="19">
        <f>Rev_Build!O45</f>
        <v/>
      </c>
      <c r="P11" s="19">
        <f>Rev_Build!P45</f>
        <v/>
      </c>
      <c r="Q11" s="19">
        <f>Rev_Build!Q45</f>
        <v/>
      </c>
      <c r="R11" s="19">
        <f>Rev_Build!R45</f>
        <v/>
      </c>
      <c r="S11" s="19">
        <f>Rev_Build!S45</f>
        <v/>
      </c>
      <c r="T11" s="19">
        <f>Rev_Build!T45</f>
        <v/>
      </c>
      <c r="U11" s="19">
        <f>Rev_Build!U45</f>
        <v/>
      </c>
      <c r="V11" s="19">
        <f>Rev_Build!V45</f>
        <v/>
      </c>
      <c r="W11" s="19">
        <f>Rev_Build!W45</f>
        <v/>
      </c>
      <c r="X11" s="19">
        <f>Rev_Build!X45</f>
        <v/>
      </c>
      <c r="Y11" s="19">
        <f>Rev_Build!Y45</f>
        <v/>
      </c>
      <c r="Z11" s="19">
        <f>Rev_Build!Z45</f>
        <v/>
      </c>
      <c r="AA11" s="19">
        <f>Rev_Build!AA45</f>
        <v/>
      </c>
      <c r="AB11" s="19">
        <f>Rev_Build!AB45</f>
        <v/>
      </c>
      <c r="AC11" s="19">
        <f>Rev_Build!AC45</f>
        <v/>
      </c>
      <c r="AD11" s="19">
        <f>Rev_Build!AD45</f>
        <v/>
      </c>
      <c r="AE11" s="19">
        <f>Rev_Build!AE45</f>
        <v/>
      </c>
      <c r="AF11" s="19">
        <f>Rev_Build!AF45</f>
        <v/>
      </c>
      <c r="AG11" s="19">
        <f>Rev_Build!AG45</f>
        <v/>
      </c>
      <c r="AH11" s="19">
        <f>Rev_Build!AH45</f>
        <v/>
      </c>
      <c r="AI11" s="19">
        <f>Rev_Build!AI45</f>
        <v/>
      </c>
      <c r="AJ11" s="19">
        <f>Rev_Build!AJ45</f>
        <v/>
      </c>
      <c r="AK11" s="19">
        <f>Rev_Build!AK45</f>
        <v/>
      </c>
      <c r="AL11" s="19">
        <f>Rev_Build!AL45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- Churn</t>
        </is>
      </c>
      <c r="B12" s="2" t="inlineStr">
        <is>
          <t>GBP k</t>
        </is>
      </c>
      <c r="O12" s="19">
        <f>Rev_Build!O46</f>
        <v/>
      </c>
      <c r="P12" s="19">
        <f>Rev_Build!P46</f>
        <v/>
      </c>
      <c r="Q12" s="19">
        <f>Rev_Build!Q46</f>
        <v/>
      </c>
      <c r="R12" s="19">
        <f>Rev_Build!R46</f>
        <v/>
      </c>
      <c r="S12" s="19">
        <f>Rev_Build!S46</f>
        <v/>
      </c>
      <c r="T12" s="19">
        <f>Rev_Build!T46</f>
        <v/>
      </c>
      <c r="U12" s="19">
        <f>Rev_Build!U46</f>
        <v/>
      </c>
      <c r="V12" s="19">
        <f>Rev_Build!V46</f>
        <v/>
      </c>
      <c r="W12" s="19">
        <f>Rev_Build!W46</f>
        <v/>
      </c>
      <c r="X12" s="19">
        <f>Rev_Build!X46</f>
        <v/>
      </c>
      <c r="Y12" s="19">
        <f>Rev_Build!Y46</f>
        <v/>
      </c>
      <c r="Z12" s="19">
        <f>Rev_Build!Z46</f>
        <v/>
      </c>
      <c r="AA12" s="19">
        <f>Rev_Build!AA46</f>
        <v/>
      </c>
      <c r="AB12" s="19">
        <f>Rev_Build!AB46</f>
        <v/>
      </c>
      <c r="AC12" s="19">
        <f>Rev_Build!AC46</f>
        <v/>
      </c>
      <c r="AD12" s="19">
        <f>Rev_Build!AD46</f>
        <v/>
      </c>
      <c r="AE12" s="19">
        <f>Rev_Build!AE46</f>
        <v/>
      </c>
      <c r="AF12" s="19">
        <f>Rev_Build!AF46</f>
        <v/>
      </c>
      <c r="AG12" s="19">
        <f>Rev_Build!AG46</f>
        <v/>
      </c>
      <c r="AH12" s="19">
        <f>Rev_Build!AH46</f>
        <v/>
      </c>
      <c r="AI12" s="19">
        <f>Rev_Build!AI46</f>
        <v/>
      </c>
      <c r="AJ12" s="19">
        <f>Rev_Build!AJ46</f>
        <v/>
      </c>
      <c r="AK12" s="19">
        <f>Rev_Build!AK46</f>
        <v/>
      </c>
      <c r="AL12" s="19">
        <f>Rev_Build!AL46</f>
        <v/>
      </c>
      <c r="AN12" s="36">
        <f>SUMIF($O$5:$AL$5,AN$5,$O12:$AL12)</f>
        <v/>
      </c>
      <c r="AO12" s="36">
        <f>SUMIF($O$5:$AL$5,AO$5,$O12:$AL12)</f>
        <v/>
      </c>
    </row>
    <row r="13">
      <c r="A13" s="37" t="inlineStr">
        <is>
          <t>Closing ARR</t>
        </is>
      </c>
      <c r="B13" s="38" t="inlineStr">
        <is>
          <t>GBP k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46">
        <f>Rev_Build!N47</f>
        <v/>
      </c>
      <c r="O13" s="40">
        <f>SUM(O9:O12)</f>
        <v/>
      </c>
      <c r="P13" s="40">
        <f>SUM(P9:P12)</f>
        <v/>
      </c>
      <c r="Q13" s="40">
        <f>SUM(Q9:Q12)</f>
        <v/>
      </c>
      <c r="R13" s="40">
        <f>SUM(R9:R12)</f>
        <v/>
      </c>
      <c r="S13" s="40">
        <f>SUM(S9:S12)</f>
        <v/>
      </c>
      <c r="T13" s="40">
        <f>SUM(T9:T12)</f>
        <v/>
      </c>
      <c r="U13" s="40">
        <f>SUM(U9:U12)</f>
        <v/>
      </c>
      <c r="V13" s="40">
        <f>SUM(V9:V12)</f>
        <v/>
      </c>
      <c r="W13" s="40">
        <f>SUM(W9:W12)</f>
        <v/>
      </c>
      <c r="X13" s="40">
        <f>SUM(X9:X12)</f>
        <v/>
      </c>
      <c r="Y13" s="40">
        <f>SUM(Y9:Y12)</f>
        <v/>
      </c>
      <c r="Z13" s="40">
        <f>SUM(Z9:Z12)</f>
        <v/>
      </c>
      <c r="AA13" s="40">
        <f>SUM(AA9:AA12)</f>
        <v/>
      </c>
      <c r="AB13" s="40">
        <f>SUM(AB9:AB12)</f>
        <v/>
      </c>
      <c r="AC13" s="40">
        <f>SUM(AC9:AC12)</f>
        <v/>
      </c>
      <c r="AD13" s="40">
        <f>SUM(AD9:AD12)</f>
        <v/>
      </c>
      <c r="AE13" s="40">
        <f>SUM(AE9:AE12)</f>
        <v/>
      </c>
      <c r="AF13" s="40">
        <f>SUM(AF9:AF12)</f>
        <v/>
      </c>
      <c r="AG13" s="40">
        <f>SUM(AG9:AG12)</f>
        <v/>
      </c>
      <c r="AH13" s="40">
        <f>SUM(AH9:AH12)</f>
        <v/>
      </c>
      <c r="AI13" s="40">
        <f>SUM(AI9:AI12)</f>
        <v/>
      </c>
      <c r="AJ13" s="40">
        <f>SUM(AJ9:AJ12)</f>
        <v/>
      </c>
      <c r="AK13" s="40">
        <f>SUM(AK9:AK12)</f>
        <v/>
      </c>
      <c r="AL13" s="40">
        <f>SUM(AL9:AL12)</f>
        <v/>
      </c>
      <c r="AM13" s="39" t="n"/>
      <c r="AN13" s="40">
        <f>INDEX($O13:$AL13,1,AN$5*12)</f>
        <v/>
      </c>
      <c r="AO13" s="40">
        <f>INDEX($O13:$AL13,1,AO$5*12)</f>
        <v/>
      </c>
    </row>
    <row r="14">
      <c r="A14" s="5" t="inlineStr">
        <is>
          <t>Check: segment ARR - total ARR</t>
        </is>
      </c>
      <c r="B14" s="2" t="inlineStr">
        <is>
          <t>GBP k</t>
        </is>
      </c>
      <c r="N14" s="47">
        <f>Rev_Build!N25+Rev_Build!N36-N13</f>
        <v/>
      </c>
      <c r="O14" s="47">
        <f>Rev_Build!O25+Rev_Build!O36-O13</f>
        <v/>
      </c>
      <c r="P14" s="47">
        <f>Rev_Build!P25+Rev_Build!P36-P13</f>
        <v/>
      </c>
      <c r="Q14" s="47">
        <f>Rev_Build!Q25+Rev_Build!Q36-Q13</f>
        <v/>
      </c>
      <c r="R14" s="47">
        <f>Rev_Build!R25+Rev_Build!R36-R13</f>
        <v/>
      </c>
      <c r="S14" s="47">
        <f>Rev_Build!S25+Rev_Build!S36-S13</f>
        <v/>
      </c>
      <c r="T14" s="47">
        <f>Rev_Build!T25+Rev_Build!T36-T13</f>
        <v/>
      </c>
      <c r="U14" s="47">
        <f>Rev_Build!U25+Rev_Build!U36-U13</f>
        <v/>
      </c>
      <c r="V14" s="47">
        <f>Rev_Build!V25+Rev_Build!V36-V13</f>
        <v/>
      </c>
      <c r="W14" s="47">
        <f>Rev_Build!W25+Rev_Build!W36-W13</f>
        <v/>
      </c>
      <c r="X14" s="47">
        <f>Rev_Build!X25+Rev_Build!X36-X13</f>
        <v/>
      </c>
      <c r="Y14" s="47">
        <f>Rev_Build!Y25+Rev_Build!Y36-Y13</f>
        <v/>
      </c>
      <c r="Z14" s="47">
        <f>Rev_Build!Z25+Rev_Build!Z36-Z13</f>
        <v/>
      </c>
      <c r="AA14" s="47">
        <f>Rev_Build!AA25+Rev_Build!AA36-AA13</f>
        <v/>
      </c>
      <c r="AB14" s="47">
        <f>Rev_Build!AB25+Rev_Build!AB36-AB13</f>
        <v/>
      </c>
      <c r="AC14" s="47">
        <f>Rev_Build!AC25+Rev_Build!AC36-AC13</f>
        <v/>
      </c>
      <c r="AD14" s="47">
        <f>Rev_Build!AD25+Rev_Build!AD36-AD13</f>
        <v/>
      </c>
      <c r="AE14" s="47">
        <f>Rev_Build!AE25+Rev_Build!AE36-AE13</f>
        <v/>
      </c>
      <c r="AF14" s="47">
        <f>Rev_Build!AF25+Rev_Build!AF36-AF13</f>
        <v/>
      </c>
      <c r="AG14" s="47">
        <f>Rev_Build!AG25+Rev_Build!AG36-AG13</f>
        <v/>
      </c>
      <c r="AH14" s="47">
        <f>Rev_Build!AH25+Rev_Build!AH36-AH13</f>
        <v/>
      </c>
      <c r="AI14" s="47">
        <f>Rev_Build!AI25+Rev_Build!AI36-AI13</f>
        <v/>
      </c>
      <c r="AJ14" s="47">
        <f>Rev_Build!AJ25+Rev_Build!AJ36-AJ13</f>
        <v/>
      </c>
      <c r="AK14" s="47">
        <f>Rev_Build!AK25+Rev_Build!AK36-AK13</f>
        <v/>
      </c>
      <c r="AL14" s="47">
        <f>Rev_Build!AL25+Rev_Build!AL36-AL13</f>
        <v/>
      </c>
    </row>
    <row r="15">
      <c r="A15" s="5" t="inlineStr">
        <is>
          <t>Net new ARR</t>
        </is>
      </c>
      <c r="B15" s="2" t="inlineStr">
        <is>
          <t>GBP k</t>
        </is>
      </c>
      <c r="O15" s="36">
        <f>O10+O11+O12</f>
        <v/>
      </c>
      <c r="P15" s="36">
        <f>P10+P11+P12</f>
        <v/>
      </c>
      <c r="Q15" s="36">
        <f>Q10+Q11+Q12</f>
        <v/>
      </c>
      <c r="R15" s="36">
        <f>R10+R11+R12</f>
        <v/>
      </c>
      <c r="S15" s="36">
        <f>S10+S11+S12</f>
        <v/>
      </c>
      <c r="T15" s="36">
        <f>T10+T11+T12</f>
        <v/>
      </c>
      <c r="U15" s="36">
        <f>U10+U11+U12</f>
        <v/>
      </c>
      <c r="V15" s="36">
        <f>V10+V11+V12</f>
        <v/>
      </c>
      <c r="W15" s="36">
        <f>W10+W11+W12</f>
        <v/>
      </c>
      <c r="X15" s="36">
        <f>X10+X11+X12</f>
        <v/>
      </c>
      <c r="Y15" s="36">
        <f>Y10+Y11+Y12</f>
        <v/>
      </c>
      <c r="Z15" s="36">
        <f>Z10+Z11+Z12</f>
        <v/>
      </c>
      <c r="AA15" s="36">
        <f>AA10+AA11+AA12</f>
        <v/>
      </c>
      <c r="AB15" s="36">
        <f>AB10+AB11+AB12</f>
        <v/>
      </c>
      <c r="AC15" s="36">
        <f>AC10+AC11+AC12</f>
        <v/>
      </c>
      <c r="AD15" s="36">
        <f>AD10+AD11+AD12</f>
        <v/>
      </c>
      <c r="AE15" s="36">
        <f>AE10+AE11+AE12</f>
        <v/>
      </c>
      <c r="AF15" s="36">
        <f>AF10+AF11+AF12</f>
        <v/>
      </c>
      <c r="AG15" s="36">
        <f>AG10+AG11+AG12</f>
        <v/>
      </c>
      <c r="AH15" s="36">
        <f>AH10+AH11+AH12</f>
        <v/>
      </c>
      <c r="AI15" s="36">
        <f>AI10+AI11+AI12</f>
        <v/>
      </c>
      <c r="AJ15" s="36">
        <f>AJ10+AJ11+AJ12</f>
        <v/>
      </c>
      <c r="AK15" s="36">
        <f>AK10+AK11+AK12</f>
        <v/>
      </c>
      <c r="AL15" s="36">
        <f>AL10+AL11+AL12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ARR growth, year on year</t>
        </is>
      </c>
      <c r="B16" s="2" t="inlineStr">
        <is>
          <t>%</t>
        </is>
      </c>
      <c r="O16" s="35">
        <f>IF(O$3&lt;12,"",O13/INDEX($N13:$AL13,1,O$3-12+1)-1)</f>
        <v/>
      </c>
      <c r="P16" s="35">
        <f>IF(P$3&lt;12,"",P13/INDEX($N13:$AL13,1,P$3-12+1)-1)</f>
        <v/>
      </c>
      <c r="Q16" s="35">
        <f>IF(Q$3&lt;12,"",Q13/INDEX($N13:$AL13,1,Q$3-12+1)-1)</f>
        <v/>
      </c>
      <c r="R16" s="35">
        <f>IF(R$3&lt;12,"",R13/INDEX($N13:$AL13,1,R$3-12+1)-1)</f>
        <v/>
      </c>
      <c r="S16" s="35">
        <f>IF(S$3&lt;12,"",S13/INDEX($N13:$AL13,1,S$3-12+1)-1)</f>
        <v/>
      </c>
      <c r="T16" s="35">
        <f>IF(T$3&lt;12,"",T13/INDEX($N13:$AL13,1,T$3-12+1)-1)</f>
        <v/>
      </c>
      <c r="U16" s="35">
        <f>IF(U$3&lt;12,"",U13/INDEX($N13:$AL13,1,U$3-12+1)-1)</f>
        <v/>
      </c>
      <c r="V16" s="35">
        <f>IF(V$3&lt;12,"",V13/INDEX($N13:$AL13,1,V$3-12+1)-1)</f>
        <v/>
      </c>
      <c r="W16" s="35">
        <f>IF(W$3&lt;12,"",W13/INDEX($N13:$AL13,1,W$3-12+1)-1)</f>
        <v/>
      </c>
      <c r="X16" s="35">
        <f>IF(X$3&lt;12,"",X13/INDEX($N13:$AL13,1,X$3-12+1)-1)</f>
        <v/>
      </c>
      <c r="Y16" s="35">
        <f>IF(Y$3&lt;12,"",Y13/INDEX($N13:$AL13,1,Y$3-12+1)-1)</f>
        <v/>
      </c>
      <c r="Z16" s="35">
        <f>IF(Z$3&lt;12,"",Z13/INDEX($N13:$AL13,1,Z$3-12+1)-1)</f>
        <v/>
      </c>
      <c r="AA16" s="35">
        <f>IF(AA$3&lt;12,"",AA13/INDEX($N13:$AL13,1,AA$3-12+1)-1)</f>
        <v/>
      </c>
      <c r="AB16" s="35">
        <f>IF(AB$3&lt;12,"",AB13/INDEX($N13:$AL13,1,AB$3-12+1)-1)</f>
        <v/>
      </c>
      <c r="AC16" s="35">
        <f>IF(AC$3&lt;12,"",AC13/INDEX($N13:$AL13,1,AC$3-12+1)-1)</f>
        <v/>
      </c>
      <c r="AD16" s="35">
        <f>IF(AD$3&lt;12,"",AD13/INDEX($N13:$AL13,1,AD$3-12+1)-1)</f>
        <v/>
      </c>
      <c r="AE16" s="35">
        <f>IF(AE$3&lt;12,"",AE13/INDEX($N13:$AL13,1,AE$3-12+1)-1)</f>
        <v/>
      </c>
      <c r="AF16" s="35">
        <f>IF(AF$3&lt;12,"",AF13/INDEX($N13:$AL13,1,AF$3-12+1)-1)</f>
        <v/>
      </c>
      <c r="AG16" s="35">
        <f>IF(AG$3&lt;12,"",AG13/INDEX($N13:$AL13,1,AG$3-12+1)-1)</f>
        <v/>
      </c>
      <c r="AH16" s="35">
        <f>IF(AH$3&lt;12,"",AH13/INDEX($N13:$AL13,1,AH$3-12+1)-1)</f>
        <v/>
      </c>
      <c r="AI16" s="35">
        <f>IF(AI$3&lt;12,"",AI13/INDEX($N13:$AL13,1,AI$3-12+1)-1)</f>
        <v/>
      </c>
      <c r="AJ16" s="35">
        <f>IF(AJ$3&lt;12,"",AJ13/INDEX($N13:$AL13,1,AJ$3-12+1)-1)</f>
        <v/>
      </c>
      <c r="AK16" s="35">
        <f>IF(AK$3&lt;12,"",AK13/INDEX($N13:$AL13,1,AK$3-12+1)-1)</f>
        <v/>
      </c>
      <c r="AL16" s="35">
        <f>IF(AL$3&lt;12,"",AL13/INDEX($N13:$AL13,1,AL$3-12+1)-1)</f>
        <v/>
      </c>
      <c r="AN16" s="35">
        <f>INDEX($O16:$AL16,1,AN$5*12)</f>
        <v/>
      </c>
      <c r="AO16" s="35">
        <f>INDEX($O16:$AL16,1,AO$5*12)</f>
        <v/>
      </c>
    </row>
    <row r="17"/>
    <row r="18">
      <c r="A18" s="13" t="inlineStr">
        <is>
          <t>Retention (annualised from each month's flows)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3" t="inlineStr">
        <is>
          <t>Net revenue retention (NRR)</t>
        </is>
      </c>
      <c r="B19" s="2" t="inlineStr">
        <is>
          <t>%</t>
        </is>
      </c>
      <c r="O19" s="44">
        <f>(1+(O11+O12)/O9)^12</f>
        <v/>
      </c>
      <c r="P19" s="44">
        <f>(1+(P11+P12)/P9)^12</f>
        <v/>
      </c>
      <c r="Q19" s="44">
        <f>(1+(Q11+Q12)/Q9)^12</f>
        <v/>
      </c>
      <c r="R19" s="44">
        <f>(1+(R11+R12)/R9)^12</f>
        <v/>
      </c>
      <c r="S19" s="44">
        <f>(1+(S11+S12)/S9)^12</f>
        <v/>
      </c>
      <c r="T19" s="44">
        <f>(1+(T11+T12)/T9)^12</f>
        <v/>
      </c>
      <c r="U19" s="44">
        <f>(1+(U11+U12)/U9)^12</f>
        <v/>
      </c>
      <c r="V19" s="44">
        <f>(1+(V11+V12)/V9)^12</f>
        <v/>
      </c>
      <c r="W19" s="44">
        <f>(1+(W11+W12)/W9)^12</f>
        <v/>
      </c>
      <c r="X19" s="44">
        <f>(1+(X11+X12)/X9)^12</f>
        <v/>
      </c>
      <c r="Y19" s="44">
        <f>(1+(Y11+Y12)/Y9)^12</f>
        <v/>
      </c>
      <c r="Z19" s="44">
        <f>(1+(Z11+Z12)/Z9)^12</f>
        <v/>
      </c>
      <c r="AA19" s="44">
        <f>(1+(AA11+AA12)/AA9)^12</f>
        <v/>
      </c>
      <c r="AB19" s="44">
        <f>(1+(AB11+AB12)/AB9)^12</f>
        <v/>
      </c>
      <c r="AC19" s="44">
        <f>(1+(AC11+AC12)/AC9)^12</f>
        <v/>
      </c>
      <c r="AD19" s="44">
        <f>(1+(AD11+AD12)/AD9)^12</f>
        <v/>
      </c>
      <c r="AE19" s="44">
        <f>(1+(AE11+AE12)/AE9)^12</f>
        <v/>
      </c>
      <c r="AF19" s="44">
        <f>(1+(AF11+AF12)/AF9)^12</f>
        <v/>
      </c>
      <c r="AG19" s="44">
        <f>(1+(AG11+AG12)/AG9)^12</f>
        <v/>
      </c>
      <c r="AH19" s="44">
        <f>(1+(AH11+AH12)/AH9)^12</f>
        <v/>
      </c>
      <c r="AI19" s="44">
        <f>(1+(AI11+AI12)/AI9)^12</f>
        <v/>
      </c>
      <c r="AJ19" s="44">
        <f>(1+(AJ11+AJ12)/AJ9)^12</f>
        <v/>
      </c>
      <c r="AK19" s="44">
        <f>(1+(AK11+AK12)/AK9)^12</f>
        <v/>
      </c>
      <c r="AL19" s="44">
        <f>(1+(AL11+AL12)/AL9)^12</f>
        <v/>
      </c>
      <c r="AN19" s="44">
        <f>INDEX($O19:$AL19,1,AN$5*12)</f>
        <v/>
      </c>
      <c r="AO19" s="44">
        <f>INDEX($O19:$AL19,1,AO$5*12)</f>
        <v/>
      </c>
    </row>
    <row r="20">
      <c r="A20" s="3" t="inlineStr">
        <is>
          <t>Gross revenue retention (GRR)</t>
        </is>
      </c>
      <c r="B20" s="2" t="inlineStr">
        <is>
          <t>%</t>
        </is>
      </c>
      <c r="O20" s="44">
        <f>(1+O12/O9)^12</f>
        <v/>
      </c>
      <c r="P20" s="44">
        <f>(1+P12/P9)^12</f>
        <v/>
      </c>
      <c r="Q20" s="44">
        <f>(1+Q12/Q9)^12</f>
        <v/>
      </c>
      <c r="R20" s="44">
        <f>(1+R12/R9)^12</f>
        <v/>
      </c>
      <c r="S20" s="44">
        <f>(1+S12/S9)^12</f>
        <v/>
      </c>
      <c r="T20" s="44">
        <f>(1+T12/T9)^12</f>
        <v/>
      </c>
      <c r="U20" s="44">
        <f>(1+U12/U9)^12</f>
        <v/>
      </c>
      <c r="V20" s="44">
        <f>(1+V12/V9)^12</f>
        <v/>
      </c>
      <c r="W20" s="44">
        <f>(1+W12/W9)^12</f>
        <v/>
      </c>
      <c r="X20" s="44">
        <f>(1+X12/X9)^12</f>
        <v/>
      </c>
      <c r="Y20" s="44">
        <f>(1+Y12/Y9)^12</f>
        <v/>
      </c>
      <c r="Z20" s="44">
        <f>(1+Z12/Z9)^12</f>
        <v/>
      </c>
      <c r="AA20" s="44">
        <f>(1+AA12/AA9)^12</f>
        <v/>
      </c>
      <c r="AB20" s="44">
        <f>(1+AB12/AB9)^12</f>
        <v/>
      </c>
      <c r="AC20" s="44">
        <f>(1+AC12/AC9)^12</f>
        <v/>
      </c>
      <c r="AD20" s="44">
        <f>(1+AD12/AD9)^12</f>
        <v/>
      </c>
      <c r="AE20" s="44">
        <f>(1+AE12/AE9)^12</f>
        <v/>
      </c>
      <c r="AF20" s="44">
        <f>(1+AF12/AF9)^12</f>
        <v/>
      </c>
      <c r="AG20" s="44">
        <f>(1+AG12/AG9)^12</f>
        <v/>
      </c>
      <c r="AH20" s="44">
        <f>(1+AH12/AH9)^12</f>
        <v/>
      </c>
      <c r="AI20" s="44">
        <f>(1+AI12/AI9)^12</f>
        <v/>
      </c>
      <c r="AJ20" s="44">
        <f>(1+AJ12/AJ9)^12</f>
        <v/>
      </c>
      <c r="AK20" s="44">
        <f>(1+AK12/AK9)^12</f>
        <v/>
      </c>
      <c r="AL20" s="44">
        <f>(1+AL12/AL9)^12</f>
        <v/>
      </c>
      <c r="AN20" s="44">
        <f>INDEX($O20:$AL20,1,AN$5*12)</f>
        <v/>
      </c>
      <c r="AO20" s="44">
        <f>INDEX($O20:$AL20,1,AO$5*12)</f>
        <v/>
      </c>
    </row>
    <row r="21">
      <c r="A21" s="5" t="inlineStr">
        <is>
          <t>Logo churn (annualised)</t>
        </is>
      </c>
      <c r="B21" s="2" t="inlineStr">
        <is>
          <t>%</t>
        </is>
      </c>
      <c r="O21" s="35">
        <f>1-(1+Rev_Build!O50/Rev_Build!O48)^12</f>
        <v/>
      </c>
      <c r="P21" s="35">
        <f>1-(1+Rev_Build!P50/Rev_Build!P48)^12</f>
        <v/>
      </c>
      <c r="Q21" s="35">
        <f>1-(1+Rev_Build!Q50/Rev_Build!Q48)^12</f>
        <v/>
      </c>
      <c r="R21" s="35">
        <f>1-(1+Rev_Build!R50/Rev_Build!R48)^12</f>
        <v/>
      </c>
      <c r="S21" s="35">
        <f>1-(1+Rev_Build!S50/Rev_Build!S48)^12</f>
        <v/>
      </c>
      <c r="T21" s="35">
        <f>1-(1+Rev_Build!T50/Rev_Build!T48)^12</f>
        <v/>
      </c>
      <c r="U21" s="35">
        <f>1-(1+Rev_Build!U50/Rev_Build!U48)^12</f>
        <v/>
      </c>
      <c r="V21" s="35">
        <f>1-(1+Rev_Build!V50/Rev_Build!V48)^12</f>
        <v/>
      </c>
      <c r="W21" s="35">
        <f>1-(1+Rev_Build!W50/Rev_Build!W48)^12</f>
        <v/>
      </c>
      <c r="X21" s="35">
        <f>1-(1+Rev_Build!X50/Rev_Build!X48)^12</f>
        <v/>
      </c>
      <c r="Y21" s="35">
        <f>1-(1+Rev_Build!Y50/Rev_Build!Y48)^12</f>
        <v/>
      </c>
      <c r="Z21" s="35">
        <f>1-(1+Rev_Build!Z50/Rev_Build!Z48)^12</f>
        <v/>
      </c>
      <c r="AA21" s="35">
        <f>1-(1+Rev_Build!AA50/Rev_Build!AA48)^12</f>
        <v/>
      </c>
      <c r="AB21" s="35">
        <f>1-(1+Rev_Build!AB50/Rev_Build!AB48)^12</f>
        <v/>
      </c>
      <c r="AC21" s="35">
        <f>1-(1+Rev_Build!AC50/Rev_Build!AC48)^12</f>
        <v/>
      </c>
      <c r="AD21" s="35">
        <f>1-(1+Rev_Build!AD50/Rev_Build!AD48)^12</f>
        <v/>
      </c>
      <c r="AE21" s="35">
        <f>1-(1+Rev_Build!AE50/Rev_Build!AE48)^12</f>
        <v/>
      </c>
      <c r="AF21" s="35">
        <f>1-(1+Rev_Build!AF50/Rev_Build!AF48)^12</f>
        <v/>
      </c>
      <c r="AG21" s="35">
        <f>1-(1+Rev_Build!AG50/Rev_Build!AG48)^12</f>
        <v/>
      </c>
      <c r="AH21" s="35">
        <f>1-(1+Rev_Build!AH50/Rev_Build!AH48)^12</f>
        <v/>
      </c>
      <c r="AI21" s="35">
        <f>1-(1+Rev_Build!AI50/Rev_Build!AI48)^12</f>
        <v/>
      </c>
      <c r="AJ21" s="35">
        <f>1-(1+Rev_Build!AJ50/Rev_Build!AJ48)^12</f>
        <v/>
      </c>
      <c r="AK21" s="35">
        <f>1-(1+Rev_Build!AK50/Rev_Build!AK48)^12</f>
        <v/>
      </c>
      <c r="AL21" s="35">
        <f>1-(1+Rev_Build!AL50/Rev_Build!AL48)^12</f>
        <v/>
      </c>
      <c r="AN21" s="35">
        <f>INDEX($O21:$AL21,1,AN$5*12)</f>
        <v/>
      </c>
      <c r="AO21" s="35">
        <f>INDEX($O21:$AL21,1,AO$5*12)</f>
        <v/>
      </c>
    </row>
    <row r="22"/>
    <row r="23">
      <c r="A23" s="13" t="inlineStr">
        <is>
          <t>Customer acquisition and unit economics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5" t="inlineStr">
        <is>
          <t>Sales &amp; marketing spend (cash basis: P&amp;L + capitalised - amortised commission)</t>
        </is>
      </c>
      <c r="B24" s="2" t="inlineStr">
        <is>
          <t>GBP k</t>
        </is>
      </c>
      <c r="O24" s="36">
        <f>IS!O25+Contract_Costs!O10+Contract_Costs!O16</f>
        <v/>
      </c>
      <c r="P24" s="36">
        <f>IS!P25+Contract_Costs!P10+Contract_Costs!P16</f>
        <v/>
      </c>
      <c r="Q24" s="36">
        <f>IS!Q25+Contract_Costs!Q10+Contract_Costs!Q16</f>
        <v/>
      </c>
      <c r="R24" s="36">
        <f>IS!R25+Contract_Costs!R10+Contract_Costs!R16</f>
        <v/>
      </c>
      <c r="S24" s="36">
        <f>IS!S25+Contract_Costs!S10+Contract_Costs!S16</f>
        <v/>
      </c>
      <c r="T24" s="36">
        <f>IS!T25+Contract_Costs!T10+Contract_Costs!T16</f>
        <v/>
      </c>
      <c r="U24" s="36">
        <f>IS!U25+Contract_Costs!U10+Contract_Costs!U16</f>
        <v/>
      </c>
      <c r="V24" s="36">
        <f>IS!V25+Contract_Costs!V10+Contract_Costs!V16</f>
        <v/>
      </c>
      <c r="W24" s="36">
        <f>IS!W25+Contract_Costs!W10+Contract_Costs!W16</f>
        <v/>
      </c>
      <c r="X24" s="36">
        <f>IS!X25+Contract_Costs!X10+Contract_Costs!X16</f>
        <v/>
      </c>
      <c r="Y24" s="36">
        <f>IS!Y25+Contract_Costs!Y10+Contract_Costs!Y16</f>
        <v/>
      </c>
      <c r="Z24" s="36">
        <f>IS!Z25+Contract_Costs!Z10+Contract_Costs!Z16</f>
        <v/>
      </c>
      <c r="AA24" s="36">
        <f>IS!AA25+Contract_Costs!AA10+Contract_Costs!AA16</f>
        <v/>
      </c>
      <c r="AB24" s="36">
        <f>IS!AB25+Contract_Costs!AB10+Contract_Costs!AB16</f>
        <v/>
      </c>
      <c r="AC24" s="36">
        <f>IS!AC25+Contract_Costs!AC10+Contract_Costs!AC16</f>
        <v/>
      </c>
      <c r="AD24" s="36">
        <f>IS!AD25+Contract_Costs!AD10+Contract_Costs!AD16</f>
        <v/>
      </c>
      <c r="AE24" s="36">
        <f>IS!AE25+Contract_Costs!AE10+Contract_Costs!AE16</f>
        <v/>
      </c>
      <c r="AF24" s="36">
        <f>IS!AF25+Contract_Costs!AF10+Contract_Costs!AF16</f>
        <v/>
      </c>
      <c r="AG24" s="36">
        <f>IS!AG25+Contract_Costs!AG10+Contract_Costs!AG16</f>
        <v/>
      </c>
      <c r="AH24" s="36">
        <f>IS!AH25+Contract_Costs!AH10+Contract_Costs!AH16</f>
        <v/>
      </c>
      <c r="AI24" s="36">
        <f>IS!AI25+Contract_Costs!AI10+Contract_Costs!AI16</f>
        <v/>
      </c>
      <c r="AJ24" s="36">
        <f>IS!AJ25+Contract_Costs!AJ10+Contract_Costs!AJ16</f>
        <v/>
      </c>
      <c r="AK24" s="36">
        <f>IS!AK25+Contract_Costs!AK10+Contract_Costs!AK16</f>
        <v/>
      </c>
      <c r="AL24" s="36">
        <f>IS!AL25+Contract_Costs!AL10+Contract_Costs!AL16</f>
        <v/>
      </c>
      <c r="AN24" s="36">
        <f>SUMIF($O$5:$AL$5,AN$5,$O24:$AL24)</f>
        <v/>
      </c>
      <c r="AO24" s="36">
        <f>SUMIF($O$5:$AL$5,AO$5,$O24:$AL24)</f>
        <v/>
      </c>
    </row>
    <row r="25">
      <c r="A25" s="5" t="inlineStr">
        <is>
          <t>New logos</t>
        </is>
      </c>
      <c r="B25" s="2" t="inlineStr">
        <is>
          <t>#</t>
        </is>
      </c>
      <c r="O25" s="15">
        <f>Rev_Build!O49</f>
        <v/>
      </c>
      <c r="P25" s="15">
        <f>Rev_Build!P49</f>
        <v/>
      </c>
      <c r="Q25" s="15">
        <f>Rev_Build!Q49</f>
        <v/>
      </c>
      <c r="R25" s="15">
        <f>Rev_Build!R49</f>
        <v/>
      </c>
      <c r="S25" s="15">
        <f>Rev_Build!S49</f>
        <v/>
      </c>
      <c r="T25" s="15">
        <f>Rev_Build!T49</f>
        <v/>
      </c>
      <c r="U25" s="15">
        <f>Rev_Build!U49</f>
        <v/>
      </c>
      <c r="V25" s="15">
        <f>Rev_Build!V49</f>
        <v/>
      </c>
      <c r="W25" s="15">
        <f>Rev_Build!W49</f>
        <v/>
      </c>
      <c r="X25" s="15">
        <f>Rev_Build!X49</f>
        <v/>
      </c>
      <c r="Y25" s="15">
        <f>Rev_Build!Y49</f>
        <v/>
      </c>
      <c r="Z25" s="15">
        <f>Rev_Build!Z49</f>
        <v/>
      </c>
      <c r="AA25" s="15">
        <f>Rev_Build!AA49</f>
        <v/>
      </c>
      <c r="AB25" s="15">
        <f>Rev_Build!AB49</f>
        <v/>
      </c>
      <c r="AC25" s="15">
        <f>Rev_Build!AC49</f>
        <v/>
      </c>
      <c r="AD25" s="15">
        <f>Rev_Build!AD49</f>
        <v/>
      </c>
      <c r="AE25" s="15">
        <f>Rev_Build!AE49</f>
        <v/>
      </c>
      <c r="AF25" s="15">
        <f>Rev_Build!AF49</f>
        <v/>
      </c>
      <c r="AG25" s="15">
        <f>Rev_Build!AG49</f>
        <v/>
      </c>
      <c r="AH25" s="15">
        <f>Rev_Build!AH49</f>
        <v/>
      </c>
      <c r="AI25" s="15">
        <f>Rev_Build!AI49</f>
        <v/>
      </c>
      <c r="AJ25" s="15">
        <f>Rev_Build!AJ49</f>
        <v/>
      </c>
      <c r="AK25" s="15">
        <f>Rev_Build!AK49</f>
        <v/>
      </c>
      <c r="AL25" s="15">
        <f>Rev_Build!AL49</f>
        <v/>
      </c>
      <c r="AN25" s="34">
        <f>SUMIF($O$5:$AL$5,AN$5,$O25:$AL25)</f>
        <v/>
      </c>
      <c r="AO25" s="34">
        <f>SUMIF($O$5:$AL$5,AO$5,$O25:$AL25)</f>
        <v/>
      </c>
    </row>
    <row r="26">
      <c r="A26" s="5" t="inlineStr">
        <is>
          <t>CAC per new logo (blended)</t>
        </is>
      </c>
      <c r="B26" s="2" t="inlineStr">
        <is>
          <t>GBP k</t>
        </is>
      </c>
      <c r="O26" s="34">
        <f>O24/O25</f>
        <v/>
      </c>
      <c r="P26" s="34">
        <f>P24/P25</f>
        <v/>
      </c>
      <c r="Q26" s="34">
        <f>Q24/Q25</f>
        <v/>
      </c>
      <c r="R26" s="34">
        <f>R24/R25</f>
        <v/>
      </c>
      <c r="S26" s="34">
        <f>S24/S25</f>
        <v/>
      </c>
      <c r="T26" s="34">
        <f>T24/T25</f>
        <v/>
      </c>
      <c r="U26" s="34">
        <f>U24/U25</f>
        <v/>
      </c>
      <c r="V26" s="34">
        <f>V24/V25</f>
        <v/>
      </c>
      <c r="W26" s="34">
        <f>W24/W25</f>
        <v/>
      </c>
      <c r="X26" s="34">
        <f>X24/X25</f>
        <v/>
      </c>
      <c r="Y26" s="34">
        <f>Y24/Y25</f>
        <v/>
      </c>
      <c r="Z26" s="34">
        <f>Z24/Z25</f>
        <v/>
      </c>
      <c r="AA26" s="34">
        <f>AA24/AA25</f>
        <v/>
      </c>
      <c r="AB26" s="34">
        <f>AB24/AB25</f>
        <v/>
      </c>
      <c r="AC26" s="34">
        <f>AC24/AC25</f>
        <v/>
      </c>
      <c r="AD26" s="34">
        <f>AD24/AD25</f>
        <v/>
      </c>
      <c r="AE26" s="34">
        <f>AE24/AE25</f>
        <v/>
      </c>
      <c r="AF26" s="34">
        <f>AF24/AF25</f>
        <v/>
      </c>
      <c r="AG26" s="34">
        <f>AG24/AG25</f>
        <v/>
      </c>
      <c r="AH26" s="34">
        <f>AH24/AH25</f>
        <v/>
      </c>
      <c r="AI26" s="34">
        <f>AI24/AI25</f>
        <v/>
      </c>
      <c r="AJ26" s="34">
        <f>AJ24/AJ25</f>
        <v/>
      </c>
      <c r="AK26" s="34">
        <f>AK24/AK25</f>
        <v/>
      </c>
      <c r="AL26" s="34">
        <f>AL24/AL25</f>
        <v/>
      </c>
      <c r="AN26" s="34">
        <f>AN24/AN25</f>
        <v/>
      </c>
      <c r="AO26" s="34">
        <f>AO24/AO25</f>
        <v/>
      </c>
    </row>
    <row r="27">
      <c r="A27" s="5" t="inlineStr">
        <is>
          <t>Gross margin</t>
        </is>
      </c>
      <c r="B27" s="2" t="inlineStr">
        <is>
          <t>%</t>
        </is>
      </c>
      <c r="O27" s="17">
        <f>IS!O21</f>
        <v/>
      </c>
      <c r="P27" s="17">
        <f>IS!P21</f>
        <v/>
      </c>
      <c r="Q27" s="17">
        <f>IS!Q21</f>
        <v/>
      </c>
      <c r="R27" s="17">
        <f>IS!R21</f>
        <v/>
      </c>
      <c r="S27" s="17">
        <f>IS!S21</f>
        <v/>
      </c>
      <c r="T27" s="17">
        <f>IS!T21</f>
        <v/>
      </c>
      <c r="U27" s="17">
        <f>IS!U21</f>
        <v/>
      </c>
      <c r="V27" s="17">
        <f>IS!V21</f>
        <v/>
      </c>
      <c r="W27" s="17">
        <f>IS!W21</f>
        <v/>
      </c>
      <c r="X27" s="17">
        <f>IS!X21</f>
        <v/>
      </c>
      <c r="Y27" s="17">
        <f>IS!Y21</f>
        <v/>
      </c>
      <c r="Z27" s="17">
        <f>IS!Z21</f>
        <v/>
      </c>
      <c r="AA27" s="17">
        <f>IS!AA21</f>
        <v/>
      </c>
      <c r="AB27" s="17">
        <f>IS!AB21</f>
        <v/>
      </c>
      <c r="AC27" s="17">
        <f>IS!AC21</f>
        <v/>
      </c>
      <c r="AD27" s="17">
        <f>IS!AD21</f>
        <v/>
      </c>
      <c r="AE27" s="17">
        <f>IS!AE21</f>
        <v/>
      </c>
      <c r="AF27" s="17">
        <f>IS!AF21</f>
        <v/>
      </c>
      <c r="AG27" s="17">
        <f>IS!AG21</f>
        <v/>
      </c>
      <c r="AH27" s="17">
        <f>IS!AH21</f>
        <v/>
      </c>
      <c r="AI27" s="17">
        <f>IS!AI21</f>
        <v/>
      </c>
      <c r="AJ27" s="17">
        <f>IS!AJ21</f>
        <v/>
      </c>
      <c r="AK27" s="17">
        <f>IS!AK21</f>
        <v/>
      </c>
      <c r="AL27" s="17">
        <f>IS!AL21</f>
        <v/>
      </c>
      <c r="AN27" s="35">
        <f>INDEX($O27:$AL27,1,AN$5*12)</f>
        <v/>
      </c>
      <c r="AO27" s="35">
        <f>INDEX($O27:$AL27,1,AO$5*12)</f>
        <v/>
      </c>
    </row>
    <row r="28">
      <c r="A28" s="3" t="inlineStr">
        <is>
          <t>CAC payback (months of gross-margin on new + expansion ARR)</t>
        </is>
      </c>
      <c r="B28" s="2" t="inlineStr">
        <is>
          <t>months</t>
        </is>
      </c>
      <c r="O28" s="48">
        <f>O24/((O10+O11)*O27/12)</f>
        <v/>
      </c>
      <c r="P28" s="48">
        <f>P24/((P10+P11)*P27/12)</f>
        <v/>
      </c>
      <c r="Q28" s="48">
        <f>Q24/((Q10+Q11)*Q27/12)</f>
        <v/>
      </c>
      <c r="R28" s="48">
        <f>R24/((R10+R11)*R27/12)</f>
        <v/>
      </c>
      <c r="S28" s="48">
        <f>S24/((S10+S11)*S27/12)</f>
        <v/>
      </c>
      <c r="T28" s="48">
        <f>T24/((T10+T11)*T27/12)</f>
        <v/>
      </c>
      <c r="U28" s="48">
        <f>U24/((U10+U11)*U27/12)</f>
        <v/>
      </c>
      <c r="V28" s="48">
        <f>V24/((V10+V11)*V27/12)</f>
        <v/>
      </c>
      <c r="W28" s="48">
        <f>W24/((W10+W11)*W27/12)</f>
        <v/>
      </c>
      <c r="X28" s="48">
        <f>X24/((X10+X11)*X27/12)</f>
        <v/>
      </c>
      <c r="Y28" s="48">
        <f>Y24/((Y10+Y11)*Y27/12)</f>
        <v/>
      </c>
      <c r="Z28" s="48">
        <f>Z24/((Z10+Z11)*Z27/12)</f>
        <v/>
      </c>
      <c r="AA28" s="48">
        <f>AA24/((AA10+AA11)*AA27/12)</f>
        <v/>
      </c>
      <c r="AB28" s="48">
        <f>AB24/((AB10+AB11)*AB27/12)</f>
        <v/>
      </c>
      <c r="AC28" s="48">
        <f>AC24/((AC10+AC11)*AC27/12)</f>
        <v/>
      </c>
      <c r="AD28" s="48">
        <f>AD24/((AD10+AD11)*AD27/12)</f>
        <v/>
      </c>
      <c r="AE28" s="48">
        <f>AE24/((AE10+AE11)*AE27/12)</f>
        <v/>
      </c>
      <c r="AF28" s="48">
        <f>AF24/((AF10+AF11)*AF27/12)</f>
        <v/>
      </c>
      <c r="AG28" s="48">
        <f>AG24/((AG10+AG11)*AG27/12)</f>
        <v/>
      </c>
      <c r="AH28" s="48">
        <f>AH24/((AH10+AH11)*AH27/12)</f>
        <v/>
      </c>
      <c r="AI28" s="48">
        <f>AI24/((AI10+AI11)*AI27/12)</f>
        <v/>
      </c>
      <c r="AJ28" s="48">
        <f>AJ24/((AJ10+AJ11)*AJ27/12)</f>
        <v/>
      </c>
      <c r="AK28" s="48">
        <f>AK24/((AK10+AK11)*AK27/12)</f>
        <v/>
      </c>
      <c r="AL28" s="48">
        <f>AL24/((AL10+AL11)*AL27/12)</f>
        <v/>
      </c>
      <c r="AN28" s="48">
        <f>INDEX($O28:$AL28,1,AN$5*12)</f>
        <v/>
      </c>
      <c r="AO28" s="48">
        <f>INDEX($O28:$AL28,1,AO$5*12)</f>
        <v/>
      </c>
    </row>
    <row r="29">
      <c r="A29" s="5" t="inlineStr">
        <is>
          <t>ARR per customer</t>
        </is>
      </c>
      <c r="B29" s="2" t="inlineStr">
        <is>
          <t>GBP k</t>
        </is>
      </c>
      <c r="O29" s="34">
        <f>O13/Rev_Build!O51</f>
        <v/>
      </c>
      <c r="P29" s="34">
        <f>P13/Rev_Build!P51</f>
        <v/>
      </c>
      <c r="Q29" s="34">
        <f>Q13/Rev_Build!Q51</f>
        <v/>
      </c>
      <c r="R29" s="34">
        <f>R13/Rev_Build!R51</f>
        <v/>
      </c>
      <c r="S29" s="34">
        <f>S13/Rev_Build!S51</f>
        <v/>
      </c>
      <c r="T29" s="34">
        <f>T13/Rev_Build!T51</f>
        <v/>
      </c>
      <c r="U29" s="34">
        <f>U13/Rev_Build!U51</f>
        <v/>
      </c>
      <c r="V29" s="34">
        <f>V13/Rev_Build!V51</f>
        <v/>
      </c>
      <c r="W29" s="34">
        <f>W13/Rev_Build!W51</f>
        <v/>
      </c>
      <c r="X29" s="34">
        <f>X13/Rev_Build!X51</f>
        <v/>
      </c>
      <c r="Y29" s="34">
        <f>Y13/Rev_Build!Y51</f>
        <v/>
      </c>
      <c r="Z29" s="34">
        <f>Z13/Rev_Build!Z51</f>
        <v/>
      </c>
      <c r="AA29" s="34">
        <f>AA13/Rev_Build!AA51</f>
        <v/>
      </c>
      <c r="AB29" s="34">
        <f>AB13/Rev_Build!AB51</f>
        <v/>
      </c>
      <c r="AC29" s="34">
        <f>AC13/Rev_Build!AC51</f>
        <v/>
      </c>
      <c r="AD29" s="34">
        <f>AD13/Rev_Build!AD51</f>
        <v/>
      </c>
      <c r="AE29" s="34">
        <f>AE13/Rev_Build!AE51</f>
        <v/>
      </c>
      <c r="AF29" s="34">
        <f>AF13/Rev_Build!AF51</f>
        <v/>
      </c>
      <c r="AG29" s="34">
        <f>AG13/Rev_Build!AG51</f>
        <v/>
      </c>
      <c r="AH29" s="34">
        <f>AH13/Rev_Build!AH51</f>
        <v/>
      </c>
      <c r="AI29" s="34">
        <f>AI13/Rev_Build!AI51</f>
        <v/>
      </c>
      <c r="AJ29" s="34">
        <f>AJ13/Rev_Build!AJ51</f>
        <v/>
      </c>
      <c r="AK29" s="34">
        <f>AK13/Rev_Build!AK51</f>
        <v/>
      </c>
      <c r="AL29" s="34">
        <f>AL13/Rev_Build!AL51</f>
        <v/>
      </c>
      <c r="AN29" s="34">
        <f>INDEX($O29:$AL29,1,AN$5*12)</f>
        <v/>
      </c>
      <c r="AO29" s="34">
        <f>INDEX($O29:$AL29,1,AO$5*12)</f>
        <v/>
      </c>
    </row>
    <row r="30">
      <c r="A30" s="5" t="inlineStr">
        <is>
          <t>Customer lifetime value (ARPA x GM / logo churn)</t>
        </is>
      </c>
      <c r="B30" s="2" t="inlineStr">
        <is>
          <t>GBP k</t>
        </is>
      </c>
      <c r="O30" s="36">
        <f>O29*O27/O21</f>
        <v/>
      </c>
      <c r="P30" s="36">
        <f>P29*P27/P21</f>
        <v/>
      </c>
      <c r="Q30" s="36">
        <f>Q29*Q27/Q21</f>
        <v/>
      </c>
      <c r="R30" s="36">
        <f>R29*R27/R21</f>
        <v/>
      </c>
      <c r="S30" s="36">
        <f>S29*S27/S21</f>
        <v/>
      </c>
      <c r="T30" s="36">
        <f>T29*T27/T21</f>
        <v/>
      </c>
      <c r="U30" s="36">
        <f>U29*U27/U21</f>
        <v/>
      </c>
      <c r="V30" s="36">
        <f>V29*V27/V21</f>
        <v/>
      </c>
      <c r="W30" s="36">
        <f>W29*W27/W21</f>
        <v/>
      </c>
      <c r="X30" s="36">
        <f>X29*X27/X21</f>
        <v/>
      </c>
      <c r="Y30" s="36">
        <f>Y29*Y27/Y21</f>
        <v/>
      </c>
      <c r="Z30" s="36">
        <f>Z29*Z27/Z21</f>
        <v/>
      </c>
      <c r="AA30" s="36">
        <f>AA29*AA27/AA21</f>
        <v/>
      </c>
      <c r="AB30" s="36">
        <f>AB29*AB27/AB21</f>
        <v/>
      </c>
      <c r="AC30" s="36">
        <f>AC29*AC27/AC21</f>
        <v/>
      </c>
      <c r="AD30" s="36">
        <f>AD29*AD27/AD21</f>
        <v/>
      </c>
      <c r="AE30" s="36">
        <f>AE29*AE27/AE21</f>
        <v/>
      </c>
      <c r="AF30" s="36">
        <f>AF29*AF27/AF21</f>
        <v/>
      </c>
      <c r="AG30" s="36">
        <f>AG29*AG27/AG21</f>
        <v/>
      </c>
      <c r="AH30" s="36">
        <f>AH29*AH27/AH21</f>
        <v/>
      </c>
      <c r="AI30" s="36">
        <f>AI29*AI27/AI21</f>
        <v/>
      </c>
      <c r="AJ30" s="36">
        <f>AJ29*AJ27/AJ21</f>
        <v/>
      </c>
      <c r="AK30" s="36">
        <f>AK29*AK27/AK21</f>
        <v/>
      </c>
      <c r="AL30" s="36">
        <f>AL29*AL27/AL21</f>
        <v/>
      </c>
      <c r="AN30" s="36">
        <f>INDEX($O30:$AL30,1,AN$5*12)</f>
        <v/>
      </c>
      <c r="AO30" s="36">
        <f>INDEX($O30:$AL30,1,AO$5*12)</f>
        <v/>
      </c>
    </row>
    <row r="31">
      <c r="A31" s="3" t="inlineStr">
        <is>
          <t>LTV / CAC</t>
        </is>
      </c>
      <c r="B31" s="2" t="inlineStr">
        <is>
          <t>x</t>
        </is>
      </c>
      <c r="O31" s="49">
        <f>O30/O26</f>
        <v/>
      </c>
      <c r="P31" s="49">
        <f>P30/P26</f>
        <v/>
      </c>
      <c r="Q31" s="49">
        <f>Q30/Q26</f>
        <v/>
      </c>
      <c r="R31" s="49">
        <f>R30/R26</f>
        <v/>
      </c>
      <c r="S31" s="49">
        <f>S30/S26</f>
        <v/>
      </c>
      <c r="T31" s="49">
        <f>T30/T26</f>
        <v/>
      </c>
      <c r="U31" s="49">
        <f>U30/U26</f>
        <v/>
      </c>
      <c r="V31" s="49">
        <f>V30/V26</f>
        <v/>
      </c>
      <c r="W31" s="49">
        <f>W30/W26</f>
        <v/>
      </c>
      <c r="X31" s="49">
        <f>X30/X26</f>
        <v/>
      </c>
      <c r="Y31" s="49">
        <f>Y30/Y26</f>
        <v/>
      </c>
      <c r="Z31" s="49">
        <f>Z30/Z26</f>
        <v/>
      </c>
      <c r="AA31" s="49">
        <f>AA30/AA26</f>
        <v/>
      </c>
      <c r="AB31" s="49">
        <f>AB30/AB26</f>
        <v/>
      </c>
      <c r="AC31" s="49">
        <f>AC30/AC26</f>
        <v/>
      </c>
      <c r="AD31" s="49">
        <f>AD30/AD26</f>
        <v/>
      </c>
      <c r="AE31" s="49">
        <f>AE30/AE26</f>
        <v/>
      </c>
      <c r="AF31" s="49">
        <f>AF30/AF26</f>
        <v/>
      </c>
      <c r="AG31" s="49">
        <f>AG30/AG26</f>
        <v/>
      </c>
      <c r="AH31" s="49">
        <f>AH30/AH26</f>
        <v/>
      </c>
      <c r="AI31" s="49">
        <f>AI30/AI26</f>
        <v/>
      </c>
      <c r="AJ31" s="49">
        <f>AJ30/AJ26</f>
        <v/>
      </c>
      <c r="AK31" s="49">
        <f>AK30/AK26</f>
        <v/>
      </c>
      <c r="AL31" s="49">
        <f>AL30/AL26</f>
        <v/>
      </c>
      <c r="AN31" s="49">
        <f>INDEX($O31:$AL31,1,AN$5*12)</f>
        <v/>
      </c>
      <c r="AO31" s="49">
        <f>INDEX($O31:$AL31,1,AO$5*12)</f>
        <v/>
      </c>
    </row>
    <row r="32">
      <c r="A32" s="5" t="inlineStr">
        <is>
          <t>Magic number (3m net new ARR / prior 3m S&amp;M)</t>
        </is>
      </c>
      <c r="B32" s="2" t="inlineStr">
        <is>
          <t>x</t>
        </is>
      </c>
      <c r="O32" s="33">
        <f>IF(O$3&lt;6,"",SUM(M15:O15)/SUM(J24:L24))</f>
        <v/>
      </c>
      <c r="P32" s="33">
        <f>IF(P$3&lt;6,"",SUM(N15:P15)/SUM(K24:M24))</f>
        <v/>
      </c>
      <c r="Q32" s="33">
        <f>IF(Q$3&lt;6,"",SUM(O15:Q15)/SUM(L24:N24))</f>
        <v/>
      </c>
      <c r="R32" s="33">
        <f>IF(R$3&lt;6,"",SUM(P15:R15)/SUM(M24:O24))</f>
        <v/>
      </c>
      <c r="S32" s="33">
        <f>IF(S$3&lt;6,"",SUM(Q15:S15)/SUM(N24:P24))</f>
        <v/>
      </c>
      <c r="T32" s="33">
        <f>IF(T$3&lt;6,"",SUM(R15:T15)/SUM(O24:Q24))</f>
        <v/>
      </c>
      <c r="U32" s="33">
        <f>IF(U$3&lt;6,"",SUM(S15:U15)/SUM(P24:R24))</f>
        <v/>
      </c>
      <c r="V32" s="33">
        <f>IF(V$3&lt;6,"",SUM(T15:V15)/SUM(Q24:S24))</f>
        <v/>
      </c>
      <c r="W32" s="33">
        <f>IF(W$3&lt;6,"",SUM(U15:W15)/SUM(R24:T24))</f>
        <v/>
      </c>
      <c r="X32" s="33">
        <f>IF(X$3&lt;6,"",SUM(V15:X15)/SUM(S24:U24))</f>
        <v/>
      </c>
      <c r="Y32" s="33">
        <f>IF(Y$3&lt;6,"",SUM(W15:Y15)/SUM(T24:V24))</f>
        <v/>
      </c>
      <c r="Z32" s="33">
        <f>IF(Z$3&lt;6,"",SUM(X15:Z15)/SUM(U24:W24))</f>
        <v/>
      </c>
      <c r="AA32" s="33">
        <f>IF(AA$3&lt;6,"",SUM(Y15:AA15)/SUM(V24:X24))</f>
        <v/>
      </c>
      <c r="AB32" s="33">
        <f>IF(AB$3&lt;6,"",SUM(Z15:AB15)/SUM(W24:Y24))</f>
        <v/>
      </c>
      <c r="AC32" s="33">
        <f>IF(AC$3&lt;6,"",SUM(AA15:AC15)/SUM(X24:Z24))</f>
        <v/>
      </c>
      <c r="AD32" s="33">
        <f>IF(AD$3&lt;6,"",SUM(AB15:AD15)/SUM(Y24:AA24))</f>
        <v/>
      </c>
      <c r="AE32" s="33">
        <f>IF(AE$3&lt;6,"",SUM(AC15:AE15)/SUM(Z24:AB24))</f>
        <v/>
      </c>
      <c r="AF32" s="33">
        <f>IF(AF$3&lt;6,"",SUM(AD15:AF15)/SUM(AA24:AC24))</f>
        <v/>
      </c>
      <c r="AG32" s="33">
        <f>IF(AG$3&lt;6,"",SUM(AE15:AG15)/SUM(AB24:AD24))</f>
        <v/>
      </c>
      <c r="AH32" s="33">
        <f>IF(AH$3&lt;6,"",SUM(AF15:AH15)/SUM(AC24:AE24))</f>
        <v/>
      </c>
      <c r="AI32" s="33">
        <f>IF(AI$3&lt;6,"",SUM(AG15:AI15)/SUM(AD24:AF24))</f>
        <v/>
      </c>
      <c r="AJ32" s="33">
        <f>IF(AJ$3&lt;6,"",SUM(AH15:AJ15)/SUM(AE24:AG24))</f>
        <v/>
      </c>
      <c r="AK32" s="33">
        <f>IF(AK$3&lt;6,"",SUM(AI15:AK15)/SUM(AF24:AH24))</f>
        <v/>
      </c>
      <c r="AL32" s="33">
        <f>IF(AL$3&lt;6,"",SUM(AJ15:AL15)/SUM(AG24:AI24))</f>
        <v/>
      </c>
      <c r="AN32" s="33">
        <f>INDEX($O32:$AL32,1,AN$5*12)</f>
        <v/>
      </c>
      <c r="AO32" s="33">
        <f>INDEX($O32:$AL32,1,AO$5*12)</f>
        <v/>
      </c>
    </row>
    <row r="33"/>
    <row r="34">
      <c r="A34" s="13" t="inlineStr">
        <is>
          <t>Cash efficiency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5" t="inlineStr">
        <is>
          <t>Net burn (positive = cash consumed)</t>
        </is>
      </c>
      <c r="B35" s="2" t="inlineStr">
        <is>
          <t>GBP k</t>
        </is>
      </c>
      <c r="O35" s="36">
        <f>-CF!O22</f>
        <v/>
      </c>
      <c r="P35" s="36">
        <f>-CF!P22</f>
        <v/>
      </c>
      <c r="Q35" s="36">
        <f>-CF!Q22</f>
        <v/>
      </c>
      <c r="R35" s="36">
        <f>-CF!R22</f>
        <v/>
      </c>
      <c r="S35" s="36">
        <f>-CF!S22</f>
        <v/>
      </c>
      <c r="T35" s="36">
        <f>-CF!T22</f>
        <v/>
      </c>
      <c r="U35" s="36">
        <f>-CF!U22</f>
        <v/>
      </c>
      <c r="V35" s="36">
        <f>-CF!V22</f>
        <v/>
      </c>
      <c r="W35" s="36">
        <f>-CF!W22</f>
        <v/>
      </c>
      <c r="X35" s="36">
        <f>-CF!X22</f>
        <v/>
      </c>
      <c r="Y35" s="36">
        <f>-CF!Y22</f>
        <v/>
      </c>
      <c r="Z35" s="36">
        <f>-CF!Z22</f>
        <v/>
      </c>
      <c r="AA35" s="36">
        <f>-CF!AA22</f>
        <v/>
      </c>
      <c r="AB35" s="36">
        <f>-CF!AB22</f>
        <v/>
      </c>
      <c r="AC35" s="36">
        <f>-CF!AC22</f>
        <v/>
      </c>
      <c r="AD35" s="36">
        <f>-CF!AD22</f>
        <v/>
      </c>
      <c r="AE35" s="36">
        <f>-CF!AE22</f>
        <v/>
      </c>
      <c r="AF35" s="36">
        <f>-CF!AF22</f>
        <v/>
      </c>
      <c r="AG35" s="36">
        <f>-CF!AG22</f>
        <v/>
      </c>
      <c r="AH35" s="36">
        <f>-CF!AH22</f>
        <v/>
      </c>
      <c r="AI35" s="36">
        <f>-CF!AI22</f>
        <v/>
      </c>
      <c r="AJ35" s="36">
        <f>-CF!AJ22</f>
        <v/>
      </c>
      <c r="AK35" s="36">
        <f>-CF!AK22</f>
        <v/>
      </c>
      <c r="AL35" s="36">
        <f>-CF!AL22</f>
        <v/>
      </c>
      <c r="AN35" s="36">
        <f>SUMIF($O$5:$AL$5,AN$5,$O35:$AL35)</f>
        <v/>
      </c>
      <c r="AO35" s="36">
        <f>SUMIF($O$5:$AL$5,AO$5,$O35:$AL35)</f>
        <v/>
      </c>
    </row>
    <row r="36">
      <c r="A36" s="3" t="inlineStr">
        <is>
          <t>Burn multiple (net burn / net new ARR)</t>
        </is>
      </c>
      <c r="B36" s="2" t="inlineStr">
        <is>
          <t>x</t>
        </is>
      </c>
      <c r="O36" s="49">
        <f>IF(O15&lt;=0,"n/a",MAX(0,O35)/O15)</f>
        <v/>
      </c>
      <c r="P36" s="49">
        <f>IF(P15&lt;=0,"n/a",MAX(0,P35)/P15)</f>
        <v/>
      </c>
      <c r="Q36" s="49">
        <f>IF(Q15&lt;=0,"n/a",MAX(0,Q35)/Q15)</f>
        <v/>
      </c>
      <c r="R36" s="49">
        <f>IF(R15&lt;=0,"n/a",MAX(0,R35)/R15)</f>
        <v/>
      </c>
      <c r="S36" s="49">
        <f>IF(S15&lt;=0,"n/a",MAX(0,S35)/S15)</f>
        <v/>
      </c>
      <c r="T36" s="49">
        <f>IF(T15&lt;=0,"n/a",MAX(0,T35)/T15)</f>
        <v/>
      </c>
      <c r="U36" s="49">
        <f>IF(U15&lt;=0,"n/a",MAX(0,U35)/U15)</f>
        <v/>
      </c>
      <c r="V36" s="49">
        <f>IF(V15&lt;=0,"n/a",MAX(0,V35)/V15)</f>
        <v/>
      </c>
      <c r="W36" s="49">
        <f>IF(W15&lt;=0,"n/a",MAX(0,W35)/W15)</f>
        <v/>
      </c>
      <c r="X36" s="49">
        <f>IF(X15&lt;=0,"n/a",MAX(0,X35)/X15)</f>
        <v/>
      </c>
      <c r="Y36" s="49">
        <f>IF(Y15&lt;=0,"n/a",MAX(0,Y35)/Y15)</f>
        <v/>
      </c>
      <c r="Z36" s="49">
        <f>IF(Z15&lt;=0,"n/a",MAX(0,Z35)/Z15)</f>
        <v/>
      </c>
      <c r="AA36" s="49">
        <f>IF(AA15&lt;=0,"n/a",MAX(0,AA35)/AA15)</f>
        <v/>
      </c>
      <c r="AB36" s="49">
        <f>IF(AB15&lt;=0,"n/a",MAX(0,AB35)/AB15)</f>
        <v/>
      </c>
      <c r="AC36" s="49">
        <f>IF(AC15&lt;=0,"n/a",MAX(0,AC35)/AC15)</f>
        <v/>
      </c>
      <c r="AD36" s="49">
        <f>IF(AD15&lt;=0,"n/a",MAX(0,AD35)/AD15)</f>
        <v/>
      </c>
      <c r="AE36" s="49">
        <f>IF(AE15&lt;=0,"n/a",MAX(0,AE35)/AE15)</f>
        <v/>
      </c>
      <c r="AF36" s="49">
        <f>IF(AF15&lt;=0,"n/a",MAX(0,AF35)/AF15)</f>
        <v/>
      </c>
      <c r="AG36" s="49">
        <f>IF(AG15&lt;=0,"n/a",MAX(0,AG35)/AG15)</f>
        <v/>
      </c>
      <c r="AH36" s="49">
        <f>IF(AH15&lt;=0,"n/a",MAX(0,AH35)/AH15)</f>
        <v/>
      </c>
      <c r="AI36" s="49">
        <f>IF(AI15&lt;=0,"n/a",MAX(0,AI35)/AI15)</f>
        <v/>
      </c>
      <c r="AJ36" s="49">
        <f>IF(AJ15&lt;=0,"n/a",MAX(0,AJ35)/AJ15)</f>
        <v/>
      </c>
      <c r="AK36" s="49">
        <f>IF(AK15&lt;=0,"n/a",MAX(0,AK35)/AK15)</f>
        <v/>
      </c>
      <c r="AL36" s="49">
        <f>IF(AL15&lt;=0,"n/a",MAX(0,AL35)/AL15)</f>
        <v/>
      </c>
      <c r="AN36" s="49">
        <f>INDEX($O36:$AL36,1,AN$5*12)</f>
        <v/>
      </c>
      <c r="AO36" s="49">
        <f>INDEX($O36:$AL36,1,AO$5*12)</f>
        <v/>
      </c>
    </row>
    <row r="37">
      <c r="A37" s="5" t="inlineStr">
        <is>
          <t>Closing cash</t>
        </is>
      </c>
      <c r="B37" s="2" t="inlineStr">
        <is>
          <t>GBP k</t>
        </is>
      </c>
      <c r="O37" s="19">
        <f>BS!O9</f>
        <v/>
      </c>
      <c r="P37" s="19">
        <f>BS!P9</f>
        <v/>
      </c>
      <c r="Q37" s="19">
        <f>BS!Q9</f>
        <v/>
      </c>
      <c r="R37" s="19">
        <f>BS!R9</f>
        <v/>
      </c>
      <c r="S37" s="19">
        <f>BS!S9</f>
        <v/>
      </c>
      <c r="T37" s="19">
        <f>BS!T9</f>
        <v/>
      </c>
      <c r="U37" s="19">
        <f>BS!U9</f>
        <v/>
      </c>
      <c r="V37" s="19">
        <f>BS!V9</f>
        <v/>
      </c>
      <c r="W37" s="19">
        <f>BS!W9</f>
        <v/>
      </c>
      <c r="X37" s="19">
        <f>BS!X9</f>
        <v/>
      </c>
      <c r="Y37" s="19">
        <f>BS!Y9</f>
        <v/>
      </c>
      <c r="Z37" s="19">
        <f>BS!Z9</f>
        <v/>
      </c>
      <c r="AA37" s="19">
        <f>BS!AA9</f>
        <v/>
      </c>
      <c r="AB37" s="19">
        <f>BS!AB9</f>
        <v/>
      </c>
      <c r="AC37" s="19">
        <f>BS!AC9</f>
        <v/>
      </c>
      <c r="AD37" s="19">
        <f>BS!AD9</f>
        <v/>
      </c>
      <c r="AE37" s="19">
        <f>BS!AE9</f>
        <v/>
      </c>
      <c r="AF37" s="19">
        <f>BS!AF9</f>
        <v/>
      </c>
      <c r="AG37" s="19">
        <f>BS!AG9</f>
        <v/>
      </c>
      <c r="AH37" s="19">
        <f>BS!AH9</f>
        <v/>
      </c>
      <c r="AI37" s="19">
        <f>BS!AI9</f>
        <v/>
      </c>
      <c r="AJ37" s="19">
        <f>BS!AJ9</f>
        <v/>
      </c>
      <c r="AK37" s="19">
        <f>BS!AK9</f>
        <v/>
      </c>
      <c r="AL37" s="19">
        <f>BS!AL9</f>
        <v/>
      </c>
      <c r="AN37" s="36">
        <f>INDEX($O37:$AL37,1,AN$5*12)</f>
        <v/>
      </c>
      <c r="AO37" s="36">
        <f>INDEX($O37:$AL37,1,AO$5*12)</f>
        <v/>
      </c>
    </row>
    <row r="38">
      <c r="A38" s="3" t="inlineStr">
        <is>
          <t>Cash runway (months at trailing 3m average burn)</t>
        </is>
      </c>
      <c r="B38" s="2" t="inlineStr">
        <is>
          <t>months</t>
        </is>
      </c>
      <c r="O38" s="48">
        <f>IF(AVERAGE(M35:O35)&lt;=0,"n/a",O37/AVERAGE(M35:O35))</f>
        <v/>
      </c>
      <c r="P38" s="48">
        <f>IF(AVERAGE(N35:P35)&lt;=0,"n/a",P37/AVERAGE(N35:P35))</f>
        <v/>
      </c>
      <c r="Q38" s="48">
        <f>IF(AVERAGE(O35:Q35)&lt;=0,"n/a",Q37/AVERAGE(O35:Q35))</f>
        <v/>
      </c>
      <c r="R38" s="48">
        <f>IF(AVERAGE(P35:R35)&lt;=0,"n/a",R37/AVERAGE(P35:R35))</f>
        <v/>
      </c>
      <c r="S38" s="48">
        <f>IF(AVERAGE(Q35:S35)&lt;=0,"n/a",S37/AVERAGE(Q35:S35))</f>
        <v/>
      </c>
      <c r="T38" s="48">
        <f>IF(AVERAGE(R35:T35)&lt;=0,"n/a",T37/AVERAGE(R35:T35))</f>
        <v/>
      </c>
      <c r="U38" s="48">
        <f>IF(AVERAGE(S35:U35)&lt;=0,"n/a",U37/AVERAGE(S35:U35))</f>
        <v/>
      </c>
      <c r="V38" s="48">
        <f>IF(AVERAGE(T35:V35)&lt;=0,"n/a",V37/AVERAGE(T35:V35))</f>
        <v/>
      </c>
      <c r="W38" s="48">
        <f>IF(AVERAGE(U35:W35)&lt;=0,"n/a",W37/AVERAGE(U35:W35))</f>
        <v/>
      </c>
      <c r="X38" s="48">
        <f>IF(AVERAGE(V35:X35)&lt;=0,"n/a",X37/AVERAGE(V35:X35))</f>
        <v/>
      </c>
      <c r="Y38" s="48">
        <f>IF(AVERAGE(W35:Y35)&lt;=0,"n/a",Y37/AVERAGE(W35:Y35))</f>
        <v/>
      </c>
      <c r="Z38" s="48">
        <f>IF(AVERAGE(X35:Z35)&lt;=0,"n/a",Z37/AVERAGE(X35:Z35))</f>
        <v/>
      </c>
      <c r="AA38" s="48">
        <f>IF(AVERAGE(Y35:AA35)&lt;=0,"n/a",AA37/AVERAGE(Y35:AA35))</f>
        <v/>
      </c>
      <c r="AB38" s="48">
        <f>IF(AVERAGE(Z35:AB35)&lt;=0,"n/a",AB37/AVERAGE(Z35:AB35))</f>
        <v/>
      </c>
      <c r="AC38" s="48">
        <f>IF(AVERAGE(AA35:AC35)&lt;=0,"n/a",AC37/AVERAGE(AA35:AC35))</f>
        <v/>
      </c>
      <c r="AD38" s="48">
        <f>IF(AVERAGE(AB35:AD35)&lt;=0,"n/a",AD37/AVERAGE(AB35:AD35))</f>
        <v/>
      </c>
      <c r="AE38" s="48">
        <f>IF(AVERAGE(AC35:AE35)&lt;=0,"n/a",AE37/AVERAGE(AC35:AE35))</f>
        <v/>
      </c>
      <c r="AF38" s="48">
        <f>IF(AVERAGE(AD35:AF35)&lt;=0,"n/a",AF37/AVERAGE(AD35:AF35))</f>
        <v/>
      </c>
      <c r="AG38" s="48">
        <f>IF(AVERAGE(AE35:AG35)&lt;=0,"n/a",AG37/AVERAGE(AE35:AG35))</f>
        <v/>
      </c>
      <c r="AH38" s="48">
        <f>IF(AVERAGE(AF35:AH35)&lt;=0,"n/a",AH37/AVERAGE(AF35:AH35))</f>
        <v/>
      </c>
      <c r="AI38" s="48">
        <f>IF(AVERAGE(AG35:AI35)&lt;=0,"n/a",AI37/AVERAGE(AG35:AI35))</f>
        <v/>
      </c>
      <c r="AJ38" s="48">
        <f>IF(AVERAGE(AH35:AJ35)&lt;=0,"n/a",AJ37/AVERAGE(AH35:AJ35))</f>
        <v/>
      </c>
      <c r="AK38" s="48">
        <f>IF(AVERAGE(AI35:AK35)&lt;=0,"n/a",AK37/AVERAGE(AI35:AK35))</f>
        <v/>
      </c>
      <c r="AL38" s="48">
        <f>IF(AVERAGE(AJ35:AL35)&lt;=0,"n/a",AL37/AVERAGE(AJ35:AL35))</f>
        <v/>
      </c>
      <c r="AN38" s="48">
        <f>INDEX($O38:$AL38,1,AN$5*12)</f>
        <v/>
      </c>
      <c r="AO38" s="48">
        <f>INDEX($O38:$AL38,1,AO$5*12)</f>
        <v/>
      </c>
    </row>
    <row r="39">
      <c r="A39" s="3" t="inlineStr">
        <is>
          <t>Rule of 40 (ARR growth + EBITDA margin)</t>
        </is>
      </c>
      <c r="B39" s="2" t="inlineStr">
        <is>
          <t>%</t>
        </is>
      </c>
      <c r="O39" s="44">
        <f>IF(O$3&lt;12,"",O16+IS!O30)</f>
        <v/>
      </c>
      <c r="P39" s="44">
        <f>IF(P$3&lt;12,"",P16+IS!P30)</f>
        <v/>
      </c>
      <c r="Q39" s="44">
        <f>IF(Q$3&lt;12,"",Q16+IS!Q30)</f>
        <v/>
      </c>
      <c r="R39" s="44">
        <f>IF(R$3&lt;12,"",R16+IS!R30)</f>
        <v/>
      </c>
      <c r="S39" s="44">
        <f>IF(S$3&lt;12,"",S16+IS!S30)</f>
        <v/>
      </c>
      <c r="T39" s="44">
        <f>IF(T$3&lt;12,"",T16+IS!T30)</f>
        <v/>
      </c>
      <c r="U39" s="44">
        <f>IF(U$3&lt;12,"",U16+IS!U30)</f>
        <v/>
      </c>
      <c r="V39" s="44">
        <f>IF(V$3&lt;12,"",V16+IS!V30)</f>
        <v/>
      </c>
      <c r="W39" s="44">
        <f>IF(W$3&lt;12,"",W16+IS!W30)</f>
        <v/>
      </c>
      <c r="X39" s="44">
        <f>IF(X$3&lt;12,"",X16+IS!X30)</f>
        <v/>
      </c>
      <c r="Y39" s="44">
        <f>IF(Y$3&lt;12,"",Y16+IS!Y30)</f>
        <v/>
      </c>
      <c r="Z39" s="44">
        <f>IF(Z$3&lt;12,"",Z16+IS!Z30)</f>
        <v/>
      </c>
      <c r="AA39" s="44">
        <f>IF(AA$3&lt;12,"",AA16+IS!AA30)</f>
        <v/>
      </c>
      <c r="AB39" s="44">
        <f>IF(AB$3&lt;12,"",AB16+IS!AB30)</f>
        <v/>
      </c>
      <c r="AC39" s="44">
        <f>IF(AC$3&lt;12,"",AC16+IS!AC30)</f>
        <v/>
      </c>
      <c r="AD39" s="44">
        <f>IF(AD$3&lt;12,"",AD16+IS!AD30)</f>
        <v/>
      </c>
      <c r="AE39" s="44">
        <f>IF(AE$3&lt;12,"",AE16+IS!AE30)</f>
        <v/>
      </c>
      <c r="AF39" s="44">
        <f>IF(AF$3&lt;12,"",AF16+IS!AF30)</f>
        <v/>
      </c>
      <c r="AG39" s="44">
        <f>IF(AG$3&lt;12,"",AG16+IS!AG30)</f>
        <v/>
      </c>
      <c r="AH39" s="44">
        <f>IF(AH$3&lt;12,"",AH16+IS!AH30)</f>
        <v/>
      </c>
      <c r="AI39" s="44">
        <f>IF(AI$3&lt;12,"",AI16+IS!AI30)</f>
        <v/>
      </c>
      <c r="AJ39" s="44">
        <f>IF(AJ$3&lt;12,"",AJ16+IS!AJ30)</f>
        <v/>
      </c>
      <c r="AK39" s="44">
        <f>IF(AK$3&lt;12,"",AK16+IS!AK30)</f>
        <v/>
      </c>
      <c r="AL39" s="44">
        <f>IF(AL$3&lt;12,"",AL16+IS!AL30)</f>
        <v/>
      </c>
      <c r="AN39" s="44">
        <f>INDEX($O39:$AL39,1,AN$5*12)</f>
        <v/>
      </c>
      <c r="AO39" s="44">
        <f>INDEX($O39:$AL39,1,AO$5*12)</f>
        <v/>
      </c>
    </row>
    <row r="40">
      <c r="A40" s="5" t="inlineStr">
        <is>
          <t>ARR per FTE</t>
        </is>
      </c>
      <c r="B40" s="2" t="inlineStr">
        <is>
          <t>GBP k</t>
        </is>
      </c>
      <c r="O40" s="36">
        <f>O13/Headcount_Opex!O33</f>
        <v/>
      </c>
      <c r="P40" s="36">
        <f>P13/Headcount_Opex!P33</f>
        <v/>
      </c>
      <c r="Q40" s="36">
        <f>Q13/Headcount_Opex!Q33</f>
        <v/>
      </c>
      <c r="R40" s="36">
        <f>R13/Headcount_Opex!R33</f>
        <v/>
      </c>
      <c r="S40" s="36">
        <f>S13/Headcount_Opex!S33</f>
        <v/>
      </c>
      <c r="T40" s="36">
        <f>T13/Headcount_Opex!T33</f>
        <v/>
      </c>
      <c r="U40" s="36">
        <f>U13/Headcount_Opex!U33</f>
        <v/>
      </c>
      <c r="V40" s="36">
        <f>V13/Headcount_Opex!V33</f>
        <v/>
      </c>
      <c r="W40" s="36">
        <f>W13/Headcount_Opex!W33</f>
        <v/>
      </c>
      <c r="X40" s="36">
        <f>X13/Headcount_Opex!X33</f>
        <v/>
      </c>
      <c r="Y40" s="36">
        <f>Y13/Headcount_Opex!Y33</f>
        <v/>
      </c>
      <c r="Z40" s="36">
        <f>Z13/Headcount_Opex!Z33</f>
        <v/>
      </c>
      <c r="AA40" s="36">
        <f>AA13/Headcount_Opex!AA33</f>
        <v/>
      </c>
      <c r="AB40" s="36">
        <f>AB13/Headcount_Opex!AB33</f>
        <v/>
      </c>
      <c r="AC40" s="36">
        <f>AC13/Headcount_Opex!AC33</f>
        <v/>
      </c>
      <c r="AD40" s="36">
        <f>AD13/Headcount_Opex!AD33</f>
        <v/>
      </c>
      <c r="AE40" s="36">
        <f>AE13/Headcount_Opex!AE33</f>
        <v/>
      </c>
      <c r="AF40" s="36">
        <f>AF13/Headcount_Opex!AF33</f>
        <v/>
      </c>
      <c r="AG40" s="36">
        <f>AG13/Headcount_Opex!AG33</f>
        <v/>
      </c>
      <c r="AH40" s="36">
        <f>AH13/Headcount_Opex!AH33</f>
        <v/>
      </c>
      <c r="AI40" s="36">
        <f>AI13/Headcount_Opex!AI33</f>
        <v/>
      </c>
      <c r="AJ40" s="36">
        <f>AJ13/Headcount_Opex!AJ33</f>
        <v/>
      </c>
      <c r="AK40" s="36">
        <f>AK13/Headcount_Opex!AK33</f>
        <v/>
      </c>
      <c r="AL40" s="36">
        <f>AL13/Headcount_Opex!AL33</f>
        <v/>
      </c>
      <c r="AN40" s="36">
        <f>INDEX($O40:$AL40,1,AN$5*12)</f>
        <v/>
      </c>
      <c r="AO40" s="36">
        <f>INDEX($O40:$AL40,1,AO$5*12)</f>
        <v/>
      </c>
    </row>
    <row r="41"/>
    <row r="42"/>
    <row r="43">
      <c r="A43" s="13" t="inlineStr">
        <is>
          <t>What moves each metric (levers). Quantified lever impacts arrive in Lever_Analysis (Phase 2).</t>
        </is>
      </c>
      <c r="B43" s="14" t="n"/>
      <c r="C43" s="14" t="n"/>
      <c r="D43" s="14" t="n"/>
      <c r="E43" s="14" t="n"/>
      <c r="F43" s="14" t="n"/>
      <c r="G43" s="14" t="n"/>
    </row>
    <row r="44">
      <c r="A44" s="3" t="inlineStr">
        <is>
          <t>ARR growth</t>
        </is>
      </c>
      <c r="C44" s="5" t="inlineStr">
        <is>
          <t>inp_logos_ent / inp_logos_mid (volume), inp_acv_* and inp_price_uplift (price), inp_churn_* and inp_exp_* (existing base)</t>
        </is>
      </c>
    </row>
    <row r="45">
      <c r="A45" s="3" t="inlineStr">
        <is>
          <t>NRR</t>
        </is>
      </c>
      <c r="C45" s="5" t="inlineStr">
        <is>
          <t>inp_exp_ent / inp_exp_mid (up), inp_churn_ent / inp_churn_mid (down). Mix shifts toward Enterprise raise it</t>
        </is>
      </c>
    </row>
    <row r="46">
      <c r="A46" s="3" t="inlineStr">
        <is>
          <t>GRR</t>
        </is>
      </c>
      <c r="C46" s="5" t="inlineStr">
        <is>
          <t>inp_churn_ent and inp_churn_mid only</t>
        </is>
      </c>
    </row>
    <row r="47">
      <c r="A47" s="3" t="inlineStr">
        <is>
          <t>CAC</t>
        </is>
      </c>
      <c r="C47" s="5" t="inlineStr">
        <is>
          <t>inp_hires_sm and inp_sal_sm (team cost), inp_marketing_m, inp_commission_pct, new-logo volume</t>
        </is>
      </c>
    </row>
    <row r="48">
      <c r="A48" s="3" t="inlineStr">
        <is>
          <t>CAC payback</t>
        </is>
      </c>
      <c r="C48" s="5" t="inlineStr">
        <is>
          <t>CAC levers, plus gross margin and gross new ARR (new logos, ACV, expansion)</t>
        </is>
      </c>
    </row>
    <row r="49">
      <c r="A49" s="3" t="inlineStr">
        <is>
          <t>LTV / CAC</t>
        </is>
      </c>
      <c r="C49" s="5" t="inlineStr">
        <is>
          <t>ARR per customer, gross margin, logo churn (inp_churn_*) and every CAC lever</t>
        </is>
      </c>
    </row>
    <row r="50">
      <c r="A50" s="3" t="inlineStr">
        <is>
          <t>Burn multiple</t>
        </is>
      </c>
      <c r="C50" s="5" t="inlineStr">
        <is>
          <t>Net burn (opex, hiring, collections via inp_dso) over net new ARR (growth and churn levers)</t>
        </is>
      </c>
    </row>
    <row r="51">
      <c r="A51" s="3" t="inlineStr">
        <is>
          <t>Rule of 40</t>
        </is>
      </c>
      <c r="C51" s="5" t="inlineStr">
        <is>
          <t>ARR growth levers plus EBITDA margin (hiring plan, hosting cost per customer, marketing spend)</t>
        </is>
      </c>
    </row>
    <row r="52">
      <c r="A52" s="3" t="inlineStr">
        <is>
          <t>Cash runway</t>
        </is>
      </c>
      <c r="C52" s="5" t="inlineStr">
        <is>
          <t>Cash balance and burn: hiring plan, DSO, churn, new logos, billing terms</t>
        </is>
      </c>
    </row>
    <row r="53">
      <c r="A53" s="3" t="inlineStr">
        <is>
          <t>Gross margin</t>
        </is>
      </c>
      <c r="C53" s="5" t="inlineStr">
        <is>
          <t>inp_host_ent / inp_host_mid, inp_licence_pct, inp_hires_cs, inp_sal_cs, inp_services_cost_pct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LT_Model - five-year view (years 1-2 from the monthly model, years 3-5 driver-based)</t>
        </is>
      </c>
    </row>
    <row r="2">
      <c r="A2" s="2" t="inlineStr">
        <is>
          <t>GBP thousands. Years 1-2 are links to the monthly tabs; years 3-5 use the inp_lt_* drivers. Simplified cash view: no interest income, no full balance sheet.</t>
        </is>
      </c>
    </row>
    <row r="4">
      <c r="A4" s="11" t="inlineStr">
        <is>
          <t>Year</t>
        </is>
      </c>
      <c r="B4" s="12" t="inlineStr">
        <is>
          <t>Unit</t>
        </is>
      </c>
      <c r="C4" s="12">
        <f>"FY"&amp;(YEAR(inp_model_start)+C5-1)</f>
        <v/>
      </c>
      <c r="D4" s="12">
        <f>"FY"&amp;(YEAR(inp_model_start)+D5-1)</f>
        <v/>
      </c>
      <c r="E4" s="12">
        <f>"FY"&amp;(YEAR(inp_model_start)+E5-1)</f>
        <v/>
      </c>
      <c r="F4" s="12">
        <f>"FY"&amp;(YEAR(inp_model_start)+F5-1)</f>
        <v/>
      </c>
      <c r="G4" s="12">
        <f>"FY"&amp;(YEAR(inp_model_start)+G5-1)</f>
        <v/>
      </c>
    </row>
    <row r="5">
      <c r="A5" s="2" t="inlineStr">
        <is>
          <t>Year index</t>
        </is>
      </c>
      <c r="C5" s="26">
        <f>COLUMN()-COLUMN($B$1)</f>
        <v/>
      </c>
      <c r="D5" s="26">
        <f>COLUMN()-COLUMN($B$1)</f>
        <v/>
      </c>
      <c r="E5" s="26">
        <f>COLUMN()-COLUMN($B$1)</f>
        <v/>
      </c>
      <c r="F5" s="26">
        <f>COLUMN()-COLUMN($B$1)</f>
        <v/>
      </c>
      <c r="G5" s="26">
        <f>COLUMN()-COLUMN($B$1)</f>
        <v/>
      </c>
    </row>
    <row r="7">
      <c r="A7" s="13" t="inlineStr">
        <is>
          <t>ARR</t>
        </is>
      </c>
      <c r="B7" s="14" t="n"/>
      <c r="C7" s="14" t="n"/>
      <c r="D7" s="14" t="n"/>
      <c r="E7" s="14" t="n"/>
      <c r="F7" s="14" t="n"/>
      <c r="G7" s="14" t="n"/>
    </row>
    <row r="8">
      <c r="A8" s="5" t="inlineStr">
        <is>
          <t>Opening ARR</t>
        </is>
      </c>
      <c r="B8" s="2" t="inlineStr">
        <is>
          <t>GBP k</t>
        </is>
      </c>
      <c r="C8" s="19">
        <f>Rev_Build!AN43</f>
        <v/>
      </c>
      <c r="D8" s="19">
        <f>Rev_Build!AO43</f>
        <v/>
      </c>
      <c r="E8" s="36">
        <f>D12</f>
        <v/>
      </c>
      <c r="F8" s="36">
        <f>E12</f>
        <v/>
      </c>
      <c r="G8" s="36">
        <f>F12</f>
        <v/>
      </c>
    </row>
    <row r="9">
      <c r="A9" s="5" t="inlineStr">
        <is>
          <t>+ New logos</t>
        </is>
      </c>
      <c r="B9" s="2" t="inlineStr">
        <is>
          <t>GBP k</t>
        </is>
      </c>
      <c r="C9" s="19">
        <f>Rev_Build!AN44</f>
        <v/>
      </c>
      <c r="D9" s="19">
        <f>Rev_Build!AO44</f>
        <v/>
      </c>
      <c r="E9" s="36">
        <f>D9*(1+inp_lt_newarr_growth)</f>
        <v/>
      </c>
      <c r="F9" s="36">
        <f>E9*(1+inp_lt_newarr_growth)</f>
        <v/>
      </c>
      <c r="G9" s="36">
        <f>F9*(1+inp_lt_newarr_growth)</f>
        <v/>
      </c>
    </row>
    <row r="10">
      <c r="A10" s="5" t="inlineStr">
        <is>
          <t>+ Expansion</t>
        </is>
      </c>
      <c r="B10" s="2" t="inlineStr">
        <is>
          <t>GBP k</t>
        </is>
      </c>
      <c r="C10" s="19">
        <f>Rev_Build!AN45</f>
        <v/>
      </c>
      <c r="D10" s="19">
        <f>Rev_Build!AO45</f>
        <v/>
      </c>
      <c r="E10" s="36">
        <f>E8*E13</f>
        <v/>
      </c>
      <c r="F10" s="36">
        <f>F8*F13</f>
        <v/>
      </c>
      <c r="G10" s="36">
        <f>G8*G13</f>
        <v/>
      </c>
    </row>
    <row r="11">
      <c r="A11" s="5" t="inlineStr">
        <is>
          <t>- Churn</t>
        </is>
      </c>
      <c r="B11" s="2" t="inlineStr">
        <is>
          <t>GBP k</t>
        </is>
      </c>
      <c r="C11" s="19">
        <f>Rev_Build!AN46</f>
        <v/>
      </c>
      <c r="D11" s="19">
        <f>Rev_Build!AO46</f>
        <v/>
      </c>
      <c r="E11" s="36">
        <f>-E8*E14</f>
        <v/>
      </c>
      <c r="F11" s="36">
        <f>-F8*F14</f>
        <v/>
      </c>
      <c r="G11" s="36">
        <f>-G8*G14</f>
        <v/>
      </c>
    </row>
    <row r="12">
      <c r="A12" s="3" t="inlineStr">
        <is>
          <t>Closing ARR</t>
        </is>
      </c>
      <c r="B12" s="2" t="inlineStr">
        <is>
          <t>GBP k</t>
        </is>
      </c>
      <c r="C12" s="46">
        <f>Rev_Build!AN47</f>
        <v/>
      </c>
      <c r="D12" s="46">
        <f>Rev_Build!AO47</f>
        <v/>
      </c>
      <c r="E12" s="40">
        <f>SUM(E8:E11)</f>
        <v/>
      </c>
      <c r="F12" s="40">
        <f>SUM(F8:F11)</f>
        <v/>
      </c>
      <c r="G12" s="40">
        <f>SUM(G8:G11)</f>
        <v/>
      </c>
    </row>
    <row r="13">
      <c r="A13" s="5" t="inlineStr">
        <is>
          <t>Expansion rate (% of opening ARR)</t>
        </is>
      </c>
      <c r="B13" s="2" t="inlineStr">
        <is>
          <t>%</t>
        </is>
      </c>
      <c r="C13" s="35">
        <f>C10/C8</f>
        <v/>
      </c>
      <c r="D13" s="35">
        <f>D10/D8</f>
        <v/>
      </c>
      <c r="E13" s="35">
        <f>D13+inp_lt_nrr_step</f>
        <v/>
      </c>
      <c r="F13" s="35">
        <f>E13+inp_lt_nrr_step</f>
        <v/>
      </c>
      <c r="G13" s="35">
        <f>F13+inp_lt_nrr_step</f>
        <v/>
      </c>
    </row>
    <row r="14">
      <c r="A14" s="5" t="inlineStr">
        <is>
          <t>Gross churn rate (% of opening ARR)</t>
        </is>
      </c>
      <c r="B14" s="2" t="inlineStr">
        <is>
          <t>%</t>
        </is>
      </c>
      <c r="C14" s="35">
        <f>-C11/C8</f>
        <v/>
      </c>
      <c r="D14" s="35">
        <f>-D11/D8</f>
        <v/>
      </c>
      <c r="E14" s="35">
        <f>D14</f>
        <v/>
      </c>
      <c r="F14" s="35">
        <f>E14</f>
        <v/>
      </c>
      <c r="G14" s="35">
        <f>F14</f>
        <v/>
      </c>
    </row>
    <row r="15">
      <c r="A15" s="5" t="inlineStr">
        <is>
          <t>ARR growth</t>
        </is>
      </c>
      <c r="B15" s="2" t="inlineStr">
        <is>
          <t>%</t>
        </is>
      </c>
      <c r="C15" s="35">
        <f>C12/C8-1</f>
        <v/>
      </c>
      <c r="D15" s="35">
        <f>D12/D8-1</f>
        <v/>
      </c>
      <c r="E15" s="35">
        <f>E12/E8-1</f>
        <v/>
      </c>
      <c r="F15" s="35">
        <f>F12/F8-1</f>
        <v/>
      </c>
      <c r="G15" s="35">
        <f>G12/G8-1</f>
        <v/>
      </c>
    </row>
    <row r="16">
      <c r="A16" s="5" t="inlineStr">
        <is>
          <t>Net revenue retention</t>
        </is>
      </c>
      <c r="B16" s="2" t="inlineStr">
        <is>
          <t>%</t>
        </is>
      </c>
      <c r="C16" s="35">
        <f>1+(C10+C11)/C8</f>
        <v/>
      </c>
      <c r="D16" s="35">
        <f>1+(D10+D11)/D8</f>
        <v/>
      </c>
      <c r="E16" s="35">
        <f>1+(E10+E11)/E8</f>
        <v/>
      </c>
      <c r="F16" s="35">
        <f>1+(F10+F11)/F8</f>
        <v/>
      </c>
      <c r="G16" s="35">
        <f>1+(G10+G11)/G8</f>
        <v/>
      </c>
    </row>
    <row r="18">
      <c r="A18" s="13" t="inlineStr">
        <is>
          <t>Income statement</t>
        </is>
      </c>
      <c r="B18" s="14" t="n"/>
      <c r="C18" s="14" t="n"/>
      <c r="D18" s="14" t="n"/>
      <c r="E18" s="14" t="n"/>
      <c r="F18" s="14" t="n"/>
      <c r="G18" s="14" t="n"/>
    </row>
    <row r="19">
      <c r="A19" s="3" t="inlineStr">
        <is>
          <t>Revenue</t>
        </is>
      </c>
      <c r="B19" s="2" t="inlineStr">
        <is>
          <t>GBP k</t>
        </is>
      </c>
      <c r="C19" s="50">
        <f>IS!AN12</f>
        <v/>
      </c>
      <c r="D19" s="50">
        <f>IS!AO12</f>
        <v/>
      </c>
      <c r="E19" s="42">
        <f>(E8+E12)/2*E20</f>
        <v/>
      </c>
      <c r="F19" s="42">
        <f>(F8+F12)/2*F20</f>
        <v/>
      </c>
      <c r="G19" s="42">
        <f>(G8+G12)/2*G20</f>
        <v/>
      </c>
    </row>
    <row r="20">
      <c r="A20" s="5" t="inlineStr">
        <is>
          <t>Revenue / average ARR</t>
        </is>
      </c>
      <c r="B20" s="2" t="inlineStr">
        <is>
          <t>x</t>
        </is>
      </c>
      <c r="C20" s="33">
        <f>C19/((C8+C12)/2)</f>
        <v/>
      </c>
      <c r="D20" s="33">
        <f>D19/((D8+D12)/2)</f>
        <v/>
      </c>
      <c r="E20" s="33">
        <f>D20</f>
        <v/>
      </c>
      <c r="F20" s="33">
        <f>E20</f>
        <v/>
      </c>
      <c r="G20" s="33">
        <f>F20</f>
        <v/>
      </c>
    </row>
    <row r="21">
      <c r="A21" s="5" t="inlineStr">
        <is>
          <t>Gross margin</t>
        </is>
      </c>
      <c r="B21" s="2" t="inlineStr">
        <is>
          <t>%</t>
        </is>
      </c>
      <c r="C21" s="17">
        <f>IS!AN21</f>
        <v/>
      </c>
      <c r="D21" s="17">
        <f>IS!AO21</f>
        <v/>
      </c>
      <c r="E21" s="35">
        <f>D21+inp_lt_gm_step</f>
        <v/>
      </c>
      <c r="F21" s="35">
        <f>E21+inp_lt_gm_step</f>
        <v/>
      </c>
      <c r="G21" s="35">
        <f>F21+inp_lt_gm_step</f>
        <v/>
      </c>
    </row>
    <row r="22">
      <c r="A22" s="5" t="inlineStr">
        <is>
          <t>Gross profit</t>
        </is>
      </c>
      <c r="B22" s="2" t="inlineStr">
        <is>
          <t>GBP k</t>
        </is>
      </c>
      <c r="C22" s="19">
        <f>IS!AN20</f>
        <v/>
      </c>
      <c r="D22" s="19">
        <f>IS!AO20</f>
        <v/>
      </c>
      <c r="E22" s="36">
        <f>E19*E21</f>
        <v/>
      </c>
      <c r="F22" s="36">
        <f>F19*F21</f>
        <v/>
      </c>
      <c r="G22" s="36">
        <f>G19*G21</f>
        <v/>
      </c>
    </row>
    <row r="23">
      <c r="A23" s="5" t="inlineStr">
        <is>
          <t>R&amp;D as % of revenue</t>
        </is>
      </c>
      <c r="B23" s="2" t="inlineStr">
        <is>
          <t>%</t>
        </is>
      </c>
      <c r="C23" s="35">
        <f>C24/C19</f>
        <v/>
      </c>
      <c r="D23" s="35">
        <f>D24/D19</f>
        <v/>
      </c>
      <c r="E23" s="35">
        <f>D23-inp_lt_rd_step</f>
        <v/>
      </c>
      <c r="F23" s="35">
        <f>E23-inp_lt_rd_step</f>
        <v/>
      </c>
      <c r="G23" s="35">
        <f>F23-inp_lt_rd_step</f>
        <v/>
      </c>
    </row>
    <row r="24">
      <c r="A24" s="5" t="inlineStr">
        <is>
          <t>R&amp;D expense</t>
        </is>
      </c>
      <c r="B24" s="2" t="inlineStr">
        <is>
          <t>GBP k</t>
        </is>
      </c>
      <c r="C24" s="19">
        <f>IS!AN24</f>
        <v/>
      </c>
      <c r="D24" s="19">
        <f>IS!AO24</f>
        <v/>
      </c>
      <c r="E24" s="36">
        <f>E19*E23</f>
        <v/>
      </c>
      <c r="F24" s="36">
        <f>F19*F23</f>
        <v/>
      </c>
      <c r="G24" s="36">
        <f>G19*G23</f>
        <v/>
      </c>
    </row>
    <row r="25">
      <c r="A25" s="5" t="inlineStr">
        <is>
          <t>S&amp;M as % of revenue</t>
        </is>
      </c>
      <c r="B25" s="2" t="inlineStr">
        <is>
          <t>%</t>
        </is>
      </c>
      <c r="C25" s="35">
        <f>C26/C19</f>
        <v/>
      </c>
      <c r="D25" s="35">
        <f>D26/D19</f>
        <v/>
      </c>
      <c r="E25" s="35">
        <f>D25-inp_lt_sm_step</f>
        <v/>
      </c>
      <c r="F25" s="35">
        <f>E25-inp_lt_sm_step</f>
        <v/>
      </c>
      <c r="G25" s="35">
        <f>F25-inp_lt_sm_step</f>
        <v/>
      </c>
    </row>
    <row r="26">
      <c r="A26" s="5" t="inlineStr">
        <is>
          <t>S&amp;M expense</t>
        </is>
      </c>
      <c r="B26" s="2" t="inlineStr">
        <is>
          <t>GBP k</t>
        </is>
      </c>
      <c r="C26" s="19">
        <f>IS!AN25</f>
        <v/>
      </c>
      <c r="D26" s="19">
        <f>IS!AO25</f>
        <v/>
      </c>
      <c r="E26" s="36">
        <f>E19*E25</f>
        <v/>
      </c>
      <c r="F26" s="36">
        <f>F19*F25</f>
        <v/>
      </c>
      <c r="G26" s="36">
        <f>G19*G25</f>
        <v/>
      </c>
    </row>
    <row r="27">
      <c r="A27" s="5" t="inlineStr">
        <is>
          <t>G&amp;A as % of revenue</t>
        </is>
      </c>
      <c r="B27" s="2" t="inlineStr">
        <is>
          <t>%</t>
        </is>
      </c>
      <c r="C27" s="35">
        <f>C28/C19</f>
        <v/>
      </c>
      <c r="D27" s="35">
        <f>D28/D19</f>
        <v/>
      </c>
      <c r="E27" s="35">
        <f>D27-inp_lt_ga_step</f>
        <v/>
      </c>
      <c r="F27" s="35">
        <f>E27-inp_lt_ga_step</f>
        <v/>
      </c>
      <c r="G27" s="35">
        <f>F27-inp_lt_ga_step</f>
        <v/>
      </c>
    </row>
    <row r="28">
      <c r="A28" s="5" t="inlineStr">
        <is>
          <t>G&amp;A expense</t>
        </is>
      </c>
      <c r="B28" s="2" t="inlineStr">
        <is>
          <t>GBP k</t>
        </is>
      </c>
      <c r="C28" s="19">
        <f>IS!AN26</f>
        <v/>
      </c>
      <c r="D28" s="19">
        <f>IS!AO26</f>
        <v/>
      </c>
      <c r="E28" s="36">
        <f>E19*E27</f>
        <v/>
      </c>
      <c r="F28" s="36">
        <f>F19*F27</f>
        <v/>
      </c>
      <c r="G28" s="36">
        <f>G19*G27</f>
        <v/>
      </c>
    </row>
    <row r="29">
      <c r="A29" s="3" t="inlineStr">
        <is>
          <t>EBITDA</t>
        </is>
      </c>
      <c r="B29" s="2" t="inlineStr">
        <is>
          <t>GBP k</t>
        </is>
      </c>
      <c r="C29" s="40">
        <f>C22-C24-C26-C28</f>
        <v/>
      </c>
      <c r="D29" s="40">
        <f>D22-D24-D26-D28</f>
        <v/>
      </c>
      <c r="E29" s="40">
        <f>E22-E24-E26-E28</f>
        <v/>
      </c>
      <c r="F29" s="40">
        <f>F22-F24-F26-F28</f>
        <v/>
      </c>
      <c r="G29" s="40">
        <f>G22-G24-G26-G28</f>
        <v/>
      </c>
    </row>
    <row r="30">
      <c r="A30" s="5" t="inlineStr">
        <is>
          <t>EBITDA margin</t>
        </is>
      </c>
      <c r="B30" s="2" t="inlineStr">
        <is>
          <t>%</t>
        </is>
      </c>
      <c r="C30" s="35">
        <f>C29/C19</f>
        <v/>
      </c>
      <c r="D30" s="35">
        <f>D29/D19</f>
        <v/>
      </c>
      <c r="E30" s="35">
        <f>E29/E19</f>
        <v/>
      </c>
      <c r="F30" s="35">
        <f>F29/F19</f>
        <v/>
      </c>
      <c r="G30" s="35">
        <f>G29/G19</f>
        <v/>
      </c>
    </row>
    <row r="31">
      <c r="A31" s="5" t="inlineStr">
        <is>
          <t>Depreciation as % of revenue</t>
        </is>
      </c>
      <c r="B31" s="2" t="inlineStr">
        <is>
          <t>%</t>
        </is>
      </c>
      <c r="C31" s="35">
        <f>C32/C19</f>
        <v/>
      </c>
      <c r="D31" s="35">
        <f>D32/D19</f>
        <v/>
      </c>
      <c r="E31" s="35">
        <f>D31</f>
        <v/>
      </c>
      <c r="F31" s="35">
        <f>E31</f>
        <v/>
      </c>
      <c r="G31" s="35">
        <f>F31</f>
        <v/>
      </c>
    </row>
    <row r="32">
      <c r="A32" s="5" t="inlineStr">
        <is>
          <t>Depreciation</t>
        </is>
      </c>
      <c r="B32" s="2" t="inlineStr">
        <is>
          <t>GBP k</t>
        </is>
      </c>
      <c r="C32" s="19">
        <f>IS!AN31</f>
        <v/>
      </c>
      <c r="D32" s="19">
        <f>IS!AO31</f>
        <v/>
      </c>
      <c r="E32" s="36">
        <f>E19*E31</f>
        <v/>
      </c>
      <c r="F32" s="36">
        <f>F19*F31</f>
        <v/>
      </c>
      <c r="G32" s="36">
        <f>G19*G31</f>
        <v/>
      </c>
    </row>
    <row r="33">
      <c r="A33" s="5" t="inlineStr">
        <is>
          <t>Tax (on EBITDA less depreciation, if positive)</t>
        </is>
      </c>
      <c r="B33" s="2" t="inlineStr">
        <is>
          <t>GBP k</t>
        </is>
      </c>
      <c r="C33" s="19">
        <f>IS!AN35</f>
        <v/>
      </c>
      <c r="D33" s="19">
        <f>IS!AO35</f>
        <v/>
      </c>
      <c r="E33" s="36">
        <f>MAX(0,E29-E32)*inp_tax</f>
        <v/>
      </c>
      <c r="F33" s="36">
        <f>MAX(0,F29-F32)*inp_tax</f>
        <v/>
      </c>
      <c r="G33" s="36">
        <f>MAX(0,G29-G32)*inp_tax</f>
        <v/>
      </c>
    </row>
    <row r="35">
      <c r="A35" s="13" t="inlineStr">
        <is>
          <t>Cash (simplified)</t>
        </is>
      </c>
      <c r="B35" s="14" t="n"/>
      <c r="C35" s="14" t="n"/>
      <c r="D35" s="14" t="n"/>
      <c r="E35" s="14" t="n"/>
      <c r="F35" s="14" t="n"/>
      <c r="G35" s="14" t="n"/>
    </row>
    <row r="36">
      <c r="A36" s="5" t="inlineStr">
        <is>
          <t>Capex</t>
        </is>
      </c>
      <c r="B36" s="2" t="inlineStr">
        <is>
          <t>GBP k</t>
        </is>
      </c>
      <c r="C36" s="19">
        <f>BS!AN27</f>
        <v/>
      </c>
      <c r="D36" s="19">
        <f>BS!AO27</f>
        <v/>
      </c>
      <c r="E36" s="36">
        <f>E19*inp_capex_pct</f>
        <v/>
      </c>
      <c r="F36" s="36">
        <f>F19*inp_capex_pct</f>
        <v/>
      </c>
      <c r="G36" s="36">
        <f>G19*inp_capex_pct</f>
        <v/>
      </c>
    </row>
    <row r="37">
      <c r="A37" s="5" t="inlineStr">
        <is>
          <t>Deferred revenue as % of closing ARR</t>
        </is>
      </c>
      <c r="B37" s="2" t="inlineStr">
        <is>
          <t>%</t>
        </is>
      </c>
      <c r="C37" s="35">
        <f>C38/C12</f>
        <v/>
      </c>
      <c r="D37" s="35">
        <f>D38/D12</f>
        <v/>
      </c>
      <c r="E37" s="35">
        <f>D37</f>
        <v/>
      </c>
      <c r="F37" s="35">
        <f>E37</f>
        <v/>
      </c>
      <c r="G37" s="35">
        <f>F37</f>
        <v/>
      </c>
    </row>
    <row r="38">
      <c r="A38" s="5" t="inlineStr">
        <is>
          <t>Deferred revenue (closing)</t>
        </is>
      </c>
      <c r="B38" s="2" t="inlineStr">
        <is>
          <t>GBP k</t>
        </is>
      </c>
      <c r="C38" s="19">
        <f>BS!AN17</f>
        <v/>
      </c>
      <c r="D38" s="19">
        <f>BS!AO17</f>
        <v/>
      </c>
      <c r="E38" s="36">
        <f>E12*E37</f>
        <v/>
      </c>
      <c r="F38" s="36">
        <f>F12*F37</f>
        <v/>
      </c>
      <c r="G38" s="36">
        <f>G12*G37</f>
        <v/>
      </c>
    </row>
    <row r="39">
      <c r="A39" s="5" t="inlineStr">
        <is>
          <t>Receivables as % of closing ARR</t>
        </is>
      </c>
      <c r="B39" s="2" t="inlineStr">
        <is>
          <t>%</t>
        </is>
      </c>
      <c r="C39" s="35">
        <f>C40/C12</f>
        <v/>
      </c>
      <c r="D39" s="35">
        <f>D40/D12</f>
        <v/>
      </c>
      <c r="E39" s="35">
        <f>D39</f>
        <v/>
      </c>
      <c r="F39" s="35">
        <f>E39</f>
        <v/>
      </c>
      <c r="G39" s="35">
        <f>F39</f>
        <v/>
      </c>
    </row>
    <row r="40">
      <c r="A40" s="5" t="inlineStr">
        <is>
          <t>Receivables (closing)</t>
        </is>
      </c>
      <c r="B40" s="2" t="inlineStr">
        <is>
          <t>GBP k</t>
        </is>
      </c>
      <c r="C40" s="19">
        <f>BS!AN10</f>
        <v/>
      </c>
      <c r="D40" s="19">
        <f>BS!AO10</f>
        <v/>
      </c>
      <c r="E40" s="36">
        <f>E12*E39</f>
        <v/>
      </c>
      <c r="F40" s="36">
        <f>F12*F39</f>
        <v/>
      </c>
      <c r="G40" s="36">
        <f>G12*G39</f>
        <v/>
      </c>
    </row>
    <row r="41">
      <c r="A41" s="5" t="inlineStr">
        <is>
          <t>Contract-cost asset as % of closing ARR</t>
        </is>
      </c>
      <c r="B41" s="2" t="inlineStr">
        <is>
          <t>%</t>
        </is>
      </c>
      <c r="C41" s="35">
        <f>C42/C12</f>
        <v/>
      </c>
      <c r="D41" s="35">
        <f>D42/D12</f>
        <v/>
      </c>
      <c r="E41" s="35">
        <f>D41</f>
        <v/>
      </c>
      <c r="F41" s="35">
        <f>E41</f>
        <v/>
      </c>
      <c r="G41" s="35">
        <f>F41</f>
        <v/>
      </c>
    </row>
    <row r="42">
      <c r="A42" s="5" t="inlineStr">
        <is>
          <t>Capitalised contract costs (closing)</t>
        </is>
      </c>
      <c r="B42" s="2" t="inlineStr">
        <is>
          <t>GBP k</t>
        </is>
      </c>
      <c r="C42" s="19">
        <f>BS!AN12</f>
        <v/>
      </c>
      <c r="D42" s="19">
        <f>BS!AO12</f>
        <v/>
      </c>
      <c r="E42" s="36">
        <f>E12*E41</f>
        <v/>
      </c>
      <c r="F42" s="36">
        <f>F12*F41</f>
        <v/>
      </c>
      <c r="G42" s="36">
        <f>G12*G41</f>
        <v/>
      </c>
    </row>
    <row r="43">
      <c r="A43" s="3" t="inlineStr">
        <is>
          <t>Free cash flow</t>
        </is>
      </c>
      <c r="B43" s="2" t="inlineStr">
        <is>
          <t>GBP k</t>
        </is>
      </c>
      <c r="C43" s="46">
        <f>CF!AN22</f>
        <v/>
      </c>
      <c r="D43" s="46">
        <f>CF!AO22</f>
        <v/>
      </c>
      <c r="E43" s="40">
        <f>E29-E33-E36+(E38-D38)-(E40-D40)-(E42-D42)</f>
        <v/>
      </c>
      <c r="F43" s="40">
        <f>F29-F33-F36+(F38-E38)-(F40-E40)-(F42-E42)</f>
        <v/>
      </c>
      <c r="G43" s="40">
        <f>G29-G33-G36+(G38-F38)-(G40-F40)-(G42-F42)</f>
        <v/>
      </c>
    </row>
    <row r="44">
      <c r="A44" s="3" t="inlineStr">
        <is>
          <t>Closing cash</t>
        </is>
      </c>
      <c r="B44" s="2" t="inlineStr">
        <is>
          <t>GBP k</t>
        </is>
      </c>
      <c r="C44" s="50">
        <f>CF!AN24</f>
        <v/>
      </c>
      <c r="D44" s="50">
        <f>CF!AO24</f>
        <v/>
      </c>
      <c r="E44" s="42">
        <f>D44+E43</f>
        <v/>
      </c>
      <c r="F44" s="42">
        <f>E44+F43</f>
        <v/>
      </c>
      <c r="G44" s="42">
        <f>F44+G43</f>
        <v/>
      </c>
    </row>
    <row r="46">
      <c r="A46" s="13" t="inlineStr">
        <is>
          <t>Headline metrics</t>
        </is>
      </c>
      <c r="B46" s="14" t="n"/>
      <c r="C46" s="14" t="n"/>
      <c r="D46" s="14" t="n"/>
      <c r="E46" s="14" t="n"/>
      <c r="F46" s="14" t="n"/>
      <c r="G46" s="14" t="n"/>
    </row>
    <row r="47">
      <c r="A47" s="5" t="inlineStr">
        <is>
          <t>Burn multiple</t>
        </is>
      </c>
      <c r="B47" s="2" t="inlineStr">
        <is>
          <t>x</t>
        </is>
      </c>
      <c r="C47" s="51">
        <f>IF((C12-C8)&lt;=0,"n/a",MAX(0,-C43)/(C12-C8))</f>
        <v/>
      </c>
      <c r="D47" s="51">
        <f>IF((D12-D8)&lt;=0,"n/a",MAX(0,-D43)/(D12-D8))</f>
        <v/>
      </c>
      <c r="E47" s="51">
        <f>IF((E12-E8)&lt;=0,"n/a",MAX(0,-E43)/(E12-E8))</f>
        <v/>
      </c>
      <c r="F47" s="51">
        <f>IF((F12-F8)&lt;=0,"n/a",MAX(0,-F43)/(F12-F8))</f>
        <v/>
      </c>
      <c r="G47" s="51">
        <f>IF((G12-G8)&lt;=0,"n/a",MAX(0,-G43)/(G12-G8))</f>
        <v/>
      </c>
    </row>
    <row r="48">
      <c r="A48" s="5" t="inlineStr">
        <is>
          <t>Rule of 40 (ARR growth + EBITDA margin)</t>
        </is>
      </c>
      <c r="B48" s="2" t="inlineStr">
        <is>
          <t>%</t>
        </is>
      </c>
      <c r="C48" s="35">
        <f>C15+C30</f>
        <v/>
      </c>
      <c r="D48" s="35">
        <f>D15+D30</f>
        <v/>
      </c>
      <c r="E48" s="35">
        <f>E15+E30</f>
        <v/>
      </c>
      <c r="F48" s="35">
        <f>F15+F30</f>
        <v/>
      </c>
      <c r="G48" s="35">
        <f>G15+G30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8" t="inlineStr">
        <is>
          <t>Inputs_Budget - board-approved FY1 budget, as received</t>
        </is>
      </c>
    </row>
    <row r="2">
      <c r="A2" s="2" t="inlineStr">
        <is>
          <t>Board-pack layout: GBP millions, quarters across, costs shown as negatives, different line names from the model. Mapped on Budget_vs_Forecast. Totals are the only formulas.</t>
        </is>
      </c>
    </row>
    <row r="4">
      <c r="A4" s="11" t="inlineStr">
        <is>
          <t>GBP m</t>
        </is>
      </c>
      <c r="B4" s="12" t="inlineStr">
        <is>
          <t>Q1</t>
        </is>
      </c>
      <c r="C4" s="12" t="inlineStr">
        <is>
          <t>Q2</t>
        </is>
      </c>
      <c r="D4" s="12" t="inlineStr">
        <is>
          <t>Q3</t>
        </is>
      </c>
      <c r="E4" s="12" t="inlineStr">
        <is>
          <t>Q4</t>
        </is>
      </c>
      <c r="F4" s="12" t="inlineStr">
        <is>
          <t>FY</t>
        </is>
      </c>
    </row>
    <row r="5">
      <c r="A5" s="5" t="inlineStr">
        <is>
          <t>Subscription revenue</t>
        </is>
      </c>
      <c r="B5" s="52" t="n">
        <v>10.7</v>
      </c>
      <c r="C5" s="52" t="n">
        <v>11.55</v>
      </c>
      <c r="D5" s="52" t="n">
        <v>12.45</v>
      </c>
      <c r="E5" s="52" t="n">
        <v>13.35</v>
      </c>
      <c r="F5" s="53">
        <f>SUM(B5:E5)</f>
        <v/>
      </c>
    </row>
    <row r="6">
      <c r="A6" s="5" t="inlineStr">
        <is>
          <t>Professional services revenue</t>
        </is>
      </c>
      <c r="B6" s="52" t="n">
        <v>0.25</v>
      </c>
      <c r="C6" s="52" t="n">
        <v>0.3</v>
      </c>
      <c r="D6" s="52" t="n">
        <v>0.3</v>
      </c>
      <c r="E6" s="52" t="n">
        <v>0.3</v>
      </c>
      <c r="F6" s="53">
        <f>SUM(B6:E6)</f>
        <v/>
      </c>
    </row>
    <row r="7">
      <c r="A7" s="3" t="inlineStr">
        <is>
          <t>Total revenue</t>
        </is>
      </c>
      <c r="B7" s="54">
        <f>B5+B6</f>
        <v/>
      </c>
      <c r="C7" s="54">
        <f>C5+C6</f>
        <v/>
      </c>
      <c r="D7" s="54">
        <f>D5+D6</f>
        <v/>
      </c>
      <c r="E7" s="54">
        <f>E5+E6</f>
        <v/>
      </c>
      <c r="F7" s="54">
        <f>SUM(B7:E7)</f>
        <v/>
      </c>
    </row>
    <row r="8">
      <c r="A8" s="5" t="inlineStr">
        <is>
          <t>Cost of sales</t>
        </is>
      </c>
      <c r="B8" s="52" t="n">
        <v>-2.55</v>
      </c>
      <c r="C8" s="52" t="n">
        <v>-2.75</v>
      </c>
      <c r="D8" s="52" t="n">
        <v>-2.9</v>
      </c>
      <c r="E8" s="52" t="n">
        <v>-3.05</v>
      </c>
      <c r="F8" s="53">
        <f>SUM(B8:E8)</f>
        <v/>
      </c>
    </row>
    <row r="9">
      <c r="A9" s="3" t="inlineStr">
        <is>
          <t>Gross profit</t>
        </is>
      </c>
      <c r="B9" s="54">
        <f>B7+B8</f>
        <v/>
      </c>
      <c r="C9" s="54">
        <f>C7+C8</f>
        <v/>
      </c>
      <c r="D9" s="54">
        <f>D7+D8</f>
        <v/>
      </c>
      <c r="E9" s="54">
        <f>E7+E8</f>
        <v/>
      </c>
      <c r="F9" s="54">
        <f>SUM(B9:E9)</f>
        <v/>
      </c>
    </row>
    <row r="10">
      <c r="A10" s="5" t="inlineStr">
        <is>
          <t>Sales &amp; marketing</t>
        </is>
      </c>
      <c r="B10" s="52" t="n">
        <v>-4.8</v>
      </c>
      <c r="C10" s="52" t="n">
        <v>-4.95</v>
      </c>
      <c r="D10" s="52" t="n">
        <v>-5.1</v>
      </c>
      <c r="E10" s="52" t="n">
        <v>-5.25</v>
      </c>
      <c r="F10" s="53">
        <f>SUM(B10:E10)</f>
        <v/>
      </c>
    </row>
    <row r="11">
      <c r="A11" s="5" t="inlineStr">
        <is>
          <t>Research &amp; development</t>
        </is>
      </c>
      <c r="B11" s="52" t="n">
        <v>-3.75</v>
      </c>
      <c r="C11" s="52" t="n">
        <v>-3.9</v>
      </c>
      <c r="D11" s="52" t="n">
        <v>-4.05</v>
      </c>
      <c r="E11" s="52" t="n">
        <v>-4.2</v>
      </c>
      <c r="F11" s="53">
        <f>SUM(B11:E11)</f>
        <v/>
      </c>
    </row>
    <row r="12">
      <c r="A12" s="5" t="inlineStr">
        <is>
          <t>General &amp; administrative</t>
        </is>
      </c>
      <c r="B12" s="52" t="n">
        <v>-1.85</v>
      </c>
      <c r="C12" s="52" t="n">
        <v>-1.9</v>
      </c>
      <c r="D12" s="52" t="n">
        <v>-1.95</v>
      </c>
      <c r="E12" s="52" t="n">
        <v>-2</v>
      </c>
      <c r="F12" s="53">
        <f>SUM(B12:E12)</f>
        <v/>
      </c>
    </row>
    <row r="13">
      <c r="A13" s="3" t="inlineStr">
        <is>
          <t>Total operating costs</t>
        </is>
      </c>
      <c r="B13" s="54">
        <f>SUM(B10:B12)</f>
        <v/>
      </c>
      <c r="C13" s="54">
        <f>SUM(C10:C12)</f>
        <v/>
      </c>
      <c r="D13" s="54">
        <f>SUM(D10:D12)</f>
        <v/>
      </c>
      <c r="E13" s="54">
        <f>SUM(E10:E12)</f>
        <v/>
      </c>
      <c r="F13" s="54">
        <f>SUM(B13:E13)</f>
        <v/>
      </c>
    </row>
    <row r="14">
      <c r="A14" s="3" t="inlineStr">
        <is>
          <t>EBITDA</t>
        </is>
      </c>
      <c r="B14" s="54">
        <f>B9+B13</f>
        <v/>
      </c>
      <c r="C14" s="54">
        <f>C9+C13</f>
        <v/>
      </c>
      <c r="D14" s="54">
        <f>D9+D13</f>
        <v/>
      </c>
      <c r="E14" s="54">
        <f>E9+E13</f>
        <v/>
      </c>
      <c r="F14" s="54">
        <f>SUM(B14:E14)</f>
        <v/>
      </c>
    </row>
    <row r="16">
      <c r="A16" s="13" t="inlineStr">
        <is>
          <t>Operating KPIs, full year (GBP m unless stated)</t>
        </is>
      </c>
      <c r="B16" s="14" t="n"/>
      <c r="C16" s="14" t="n"/>
      <c r="D16" s="14" t="n"/>
      <c r="E16" s="14" t="n"/>
      <c r="F16" s="14" t="n"/>
    </row>
    <row r="17">
      <c r="A17" s="5" t="inlineStr">
        <is>
          <t>Opening ARR</t>
        </is>
      </c>
      <c r="B17" s="52" t="n">
        <v>40</v>
      </c>
    </row>
    <row r="18">
      <c r="A18" s="5" t="inlineStr">
        <is>
          <t>New-customer ARR</t>
        </is>
      </c>
      <c r="B18" s="52" t="n">
        <v>12.93</v>
      </c>
    </row>
    <row r="19">
      <c r="A19" s="5" t="inlineStr">
        <is>
          <t>Expansion ARR</t>
        </is>
      </c>
      <c r="B19" s="52" t="n">
        <v>4.5</v>
      </c>
    </row>
    <row r="20">
      <c r="A20" s="5" t="inlineStr">
        <is>
          <t>Churned ARR</t>
        </is>
      </c>
      <c r="B20" s="52" t="n">
        <v>-2.9</v>
      </c>
    </row>
    <row r="21">
      <c r="A21" s="3" t="inlineStr">
        <is>
          <t>Closing ARR</t>
        </is>
      </c>
      <c r="B21" s="54">
        <f>SUM(B17:B20)</f>
        <v/>
      </c>
    </row>
    <row r="22">
      <c r="A22" s="5" t="inlineStr">
        <is>
          <t>New customers (number)</t>
        </is>
      </c>
      <c r="B22" s="55" t="n">
        <v>226</v>
      </c>
    </row>
    <row r="23">
      <c r="A23" s="5" t="inlineStr">
        <is>
          <t>Closing headcount (FTE)</t>
        </is>
      </c>
      <c r="B23" s="55" t="n">
        <v>485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70" customWidth="1" min="7" max="7"/>
  </cols>
  <sheetData>
    <row r="1">
      <c r="A1" s="8" t="inlineStr">
        <is>
          <t>Budget_vs_Forecast - FY1 budget mapped to the model, with variance bridges</t>
        </is>
      </c>
    </row>
    <row r="2">
      <c r="A2" s="2" t="inlineStr">
        <is>
          <t>GBP thousands. Budget (GBP m, costs negative) x 1,000 vs model forecast on the same sign basis. Variance = forecast - budget, so a positive number is favourable on every line.</t>
        </is>
      </c>
    </row>
    <row r="3">
      <c r="A3" s="3" t="inlineStr">
        <is>
          <t>Treat a variance within this % of budget as 'On budget'</t>
        </is>
      </c>
      <c r="B3" s="24" t="n">
        <v>0.005</v>
      </c>
    </row>
    <row r="4">
      <c r="A4" s="11" t="inlineStr">
        <is>
          <t>FY1 P&amp;L</t>
        </is>
      </c>
      <c r="B4" s="12" t="inlineStr">
        <is>
          <t>Budget</t>
        </is>
      </c>
      <c r="C4" s="12" t="inlineStr">
        <is>
          <t>Forecast</t>
        </is>
      </c>
      <c r="D4" s="12" t="inlineStr">
        <is>
          <t>Variance</t>
        </is>
      </c>
      <c r="E4" s="12" t="inlineStr">
        <is>
          <t>Var %</t>
        </is>
      </c>
      <c r="F4" s="12" t="inlineStr">
        <is>
          <t>Flag</t>
        </is>
      </c>
      <c r="G4" s="12" t="inlineStr">
        <is>
          <t>Commentary (owner)</t>
        </is>
      </c>
    </row>
    <row r="5">
      <c r="A5" s="5" t="inlineStr">
        <is>
          <t>Subscription revenue</t>
        </is>
      </c>
      <c r="B5" s="36">
        <f>Inputs_Budget!F5*1000</f>
        <v/>
      </c>
      <c r="C5" s="36">
        <f>IS!AN9+IS!AN10</f>
        <v/>
      </c>
      <c r="D5" s="36">
        <f>C5-B5</f>
        <v/>
      </c>
      <c r="E5" s="35">
        <f>IF(B5=0,0,D5/ABS(B5))</f>
        <v/>
      </c>
      <c r="F5" s="56">
        <f>IF(ABS(E5)&lt;$B$3,"On budget",IF(D5&gt;0,"Favourable","Adverse"))</f>
        <v/>
      </c>
      <c r="G5" s="2" t="inlineStr">
        <is>
          <t>Budget assumed faster new-logo conversion and lower early-year churn than the forecast; see the ARR bridge below.</t>
        </is>
      </c>
    </row>
    <row r="6">
      <c r="A6" s="5" t="inlineStr">
        <is>
          <t>Professional services revenue</t>
        </is>
      </c>
      <c r="B6" s="36">
        <f>Inputs_Budget!F6*1000</f>
        <v/>
      </c>
      <c r="C6" s="19">
        <f>IS!AN11</f>
        <v/>
      </c>
      <c r="D6" s="36">
        <f>C6-B6</f>
        <v/>
      </c>
      <c r="E6" s="35">
        <f>IF(B6=0,0,D6/ABS(B6))</f>
        <v/>
      </c>
      <c r="F6" s="56">
        <f>IF(ABS(E6)&lt;$B$3,"On budget",IF(D6&gt;0,"Favourable","Adverse"))</f>
        <v/>
      </c>
      <c r="G6" s="2" t="inlineStr">
        <is>
          <t>Implementation fees follow Enterprise new-logo volume.</t>
        </is>
      </c>
    </row>
    <row r="7">
      <c r="A7" s="3" t="inlineStr">
        <is>
          <t>Total revenue</t>
        </is>
      </c>
      <c r="B7" s="42">
        <f>B5+B6</f>
        <v/>
      </c>
      <c r="C7" s="42">
        <f>C5+C6</f>
        <v/>
      </c>
      <c r="D7" s="42">
        <f>C7-B7</f>
        <v/>
      </c>
      <c r="E7" s="44">
        <f>IF(B7=0,0,D7/ABS(B7))</f>
        <v/>
      </c>
      <c r="F7" s="57">
        <f>IF(ABS(E7)&lt;$B$3,"On budget",IF(D7&gt;0,"Favourable","Adverse"))</f>
        <v/>
      </c>
      <c r="G7" s="2" t="inlineStr"/>
    </row>
    <row r="8">
      <c r="A8" s="5" t="inlineStr">
        <is>
          <t>Cost of sales</t>
        </is>
      </c>
      <c r="B8" s="36">
        <f>Inputs_Budget!F8*1000</f>
        <v/>
      </c>
      <c r="C8" s="36">
        <f>-IS!AN19</f>
        <v/>
      </c>
      <c r="D8" s="36">
        <f>C8-B8</f>
        <v/>
      </c>
      <c r="E8" s="35">
        <f>IF(B8=0,0,D8/ABS(B8))</f>
        <v/>
      </c>
      <c r="F8" s="56">
        <f>IF(ABS(E8)&lt;$B$3,"On budget",IF(D8&gt;0,"Favourable","Adverse"))</f>
        <v/>
      </c>
      <c r="G8" s="2" t="inlineStr">
        <is>
          <t>Hosting and Customer Success run slightly above the budgeted unit costs.</t>
        </is>
      </c>
    </row>
    <row r="9">
      <c r="A9" s="3" t="inlineStr">
        <is>
          <t>Gross profit</t>
        </is>
      </c>
      <c r="B9" s="42">
        <f>B7+B8</f>
        <v/>
      </c>
      <c r="C9" s="42">
        <f>C7+C8</f>
        <v/>
      </c>
      <c r="D9" s="42">
        <f>C9-B9</f>
        <v/>
      </c>
      <c r="E9" s="44">
        <f>IF(B9=0,0,D9/ABS(B9))</f>
        <v/>
      </c>
      <c r="F9" s="57">
        <f>IF(ABS(E9)&lt;$B$3,"On budget",IF(D9&gt;0,"Favourable","Adverse"))</f>
        <v/>
      </c>
      <c r="G9" s="2" t="inlineStr"/>
    </row>
    <row r="10">
      <c r="A10" s="5" t="inlineStr">
        <is>
          <t>Sales &amp; marketing</t>
        </is>
      </c>
      <c r="B10" s="36">
        <f>Inputs_Budget!F10*1000</f>
        <v/>
      </c>
      <c r="C10" s="36">
        <f>-IS!AN25</f>
        <v/>
      </c>
      <c r="D10" s="36">
        <f>C10-B10</f>
        <v/>
      </c>
      <c r="E10" s="35">
        <f>IF(B10=0,0,D10/ABS(B10))</f>
        <v/>
      </c>
      <c r="F10" s="56">
        <f>IF(ABS(E10)&lt;$B$3,"On budget",IF(D10&gt;0,"Favourable","Adverse"))</f>
        <v/>
      </c>
      <c r="G10" s="2" t="inlineStr">
        <is>
          <t>Favourable largely because commission is now capitalised (IFRS 15); cash S&amp;M is higher than the P&amp;L shows.</t>
        </is>
      </c>
    </row>
    <row r="11">
      <c r="A11" s="5" t="inlineStr">
        <is>
          <t>Research &amp; development</t>
        </is>
      </c>
      <c r="B11" s="36">
        <f>Inputs_Budget!F11*1000</f>
        <v/>
      </c>
      <c r="C11" s="36">
        <f>-IS!AN24</f>
        <v/>
      </c>
      <c r="D11" s="36">
        <f>C11-B11</f>
        <v/>
      </c>
      <c r="E11" s="35">
        <f>IF(B11=0,0,D11/ABS(B11))</f>
        <v/>
      </c>
      <c r="F11" s="56">
        <f>IF(ABS(E11)&lt;$B$3,"On budget",IF(D11&gt;0,"Favourable","Adverse"))</f>
        <v/>
      </c>
      <c r="G11" s="2" t="inlineStr">
        <is>
          <t>Hiring ahead of the budgeted profile.</t>
        </is>
      </c>
    </row>
    <row r="12">
      <c r="A12" s="5" t="inlineStr">
        <is>
          <t>General &amp; administrative</t>
        </is>
      </c>
      <c r="B12" s="36">
        <f>Inputs_Budget!F12*1000</f>
        <v/>
      </c>
      <c r="C12" s="36">
        <f>-IS!AN26</f>
        <v/>
      </c>
      <c r="D12" s="36">
        <f>C12-B12</f>
        <v/>
      </c>
      <c r="E12" s="35">
        <f>IF(B12=0,0,D12/ABS(B12))</f>
        <v/>
      </c>
      <c r="F12" s="56">
        <f>IF(ABS(E12)&lt;$B$3,"On budget",IF(D12&gt;0,"Favourable","Adverse"))</f>
        <v/>
      </c>
      <c r="G12" s="2" t="inlineStr">
        <is>
          <t>Professional fees and G&amp;A hiring above budget.</t>
        </is>
      </c>
    </row>
    <row r="13">
      <c r="A13" s="3" t="inlineStr">
        <is>
          <t>Total operating costs</t>
        </is>
      </c>
      <c r="B13" s="42">
        <f>SUM(B10:B12)</f>
        <v/>
      </c>
      <c r="C13" s="42">
        <f>SUM(C10:C12)</f>
        <v/>
      </c>
      <c r="D13" s="42">
        <f>C13-B13</f>
        <v/>
      </c>
      <c r="E13" s="44">
        <f>IF(B13=0,0,D13/ABS(B13))</f>
        <v/>
      </c>
      <c r="F13" s="57">
        <f>IF(ABS(E13)&lt;$B$3,"On budget",IF(D13&gt;0,"Favourable","Adverse"))</f>
        <v/>
      </c>
      <c r="G13" s="2" t="inlineStr"/>
    </row>
    <row r="14">
      <c r="A14" s="3" t="inlineStr">
        <is>
          <t>EBITDA</t>
        </is>
      </c>
      <c r="B14" s="42">
        <f>B9+B13</f>
        <v/>
      </c>
      <c r="C14" s="42">
        <f>C9+C13</f>
        <v/>
      </c>
      <c r="D14" s="42">
        <f>C14-B14</f>
        <v/>
      </c>
      <c r="E14" s="44">
        <f>IF(B14=0,0,D14/ABS(B14))</f>
        <v/>
      </c>
      <c r="F14" s="57">
        <f>IF(ABS(E14)&lt;$B$3,"On budget",IF(D14&gt;0,"Favourable","Adverse"))</f>
        <v/>
      </c>
      <c r="G14" s="2" t="inlineStr">
        <is>
          <t>Net of the above.</t>
        </is>
      </c>
    </row>
    <row r="16">
      <c r="A16" s="13" t="inlineStr">
        <is>
          <t>Variance by quarter (forecast - budget, GBP k)</t>
        </is>
      </c>
      <c r="B16" s="14" t="n"/>
      <c r="C16" s="14" t="n"/>
      <c r="D16" s="14" t="n"/>
      <c r="E16" s="14" t="n"/>
      <c r="F16" s="14" t="n"/>
      <c r="G16" s="14" t="n"/>
    </row>
    <row r="17">
      <c r="A17" s="11" t="inlineStr">
        <is>
          <t>Line</t>
        </is>
      </c>
      <c r="B17" s="12" t="inlineStr">
        <is>
          <t>Q1</t>
        </is>
      </c>
      <c r="C17" s="12" t="inlineStr">
        <is>
          <t>Q2</t>
        </is>
      </c>
      <c r="D17" s="12" t="inlineStr">
        <is>
          <t>Q3</t>
        </is>
      </c>
      <c r="E17" s="12" t="inlineStr">
        <is>
          <t>Q4</t>
        </is>
      </c>
      <c r="F17" s="12" t="inlineStr">
        <is>
          <t>FY1</t>
        </is>
      </c>
      <c r="G17" s="12" t="inlineStr"/>
    </row>
    <row r="18">
      <c r="A18" s="5" t="inlineStr">
        <is>
          <t>Subscription revenue</t>
        </is>
      </c>
      <c r="B18" s="36">
        <f>(SUMIF(IS!$O$6:$AL$6,COLUMN()-COLUMN($A$1),IS!$O$9:$AL$9)+SUMIF(IS!$O$6:$AL$6,COLUMN()-COLUMN($A$1),IS!$O$10:$AL$10))-Inputs_Budget!B5*1000</f>
        <v/>
      </c>
      <c r="C18" s="36">
        <f>(SUMIF(IS!$O$6:$AL$6,COLUMN()-COLUMN($A$1),IS!$O$9:$AL$9)+SUMIF(IS!$O$6:$AL$6,COLUMN()-COLUMN($A$1),IS!$O$10:$AL$10))-Inputs_Budget!C5*1000</f>
        <v/>
      </c>
      <c r="D18" s="36">
        <f>(SUMIF(IS!$O$6:$AL$6,COLUMN()-COLUMN($A$1),IS!$O$9:$AL$9)+SUMIF(IS!$O$6:$AL$6,COLUMN()-COLUMN($A$1),IS!$O$10:$AL$10))-Inputs_Budget!D5*1000</f>
        <v/>
      </c>
      <c r="E18" s="36">
        <f>(SUMIF(IS!$O$6:$AL$6,COLUMN()-COLUMN($A$1),IS!$O$9:$AL$9)+SUMIF(IS!$O$6:$AL$6,COLUMN()-COLUMN($A$1),IS!$O$10:$AL$10))-Inputs_Budget!E5*1000</f>
        <v/>
      </c>
      <c r="F18" s="36">
        <f>SUM(B18:E18)</f>
        <v/>
      </c>
    </row>
    <row r="19">
      <c r="A19" s="5" t="inlineStr">
        <is>
          <t>Professional services revenue</t>
        </is>
      </c>
      <c r="B19" s="36">
        <f>(SUMIF(IS!$O$6:$AL$6,COLUMN()-COLUMN($A$1),IS!$O$11:$AL$11))-Inputs_Budget!B6*1000</f>
        <v/>
      </c>
      <c r="C19" s="36">
        <f>(SUMIF(IS!$O$6:$AL$6,COLUMN()-COLUMN($A$1),IS!$O$11:$AL$11))-Inputs_Budget!C6*1000</f>
        <v/>
      </c>
      <c r="D19" s="36">
        <f>(SUMIF(IS!$O$6:$AL$6,COLUMN()-COLUMN($A$1),IS!$O$11:$AL$11))-Inputs_Budget!D6*1000</f>
        <v/>
      </c>
      <c r="E19" s="36">
        <f>(SUMIF(IS!$O$6:$AL$6,COLUMN()-COLUMN($A$1),IS!$O$11:$AL$11))-Inputs_Budget!E6*1000</f>
        <v/>
      </c>
      <c r="F19" s="36">
        <f>SUM(B19:E19)</f>
        <v/>
      </c>
    </row>
    <row r="20">
      <c r="A20" s="5" t="inlineStr">
        <is>
          <t>Cost of sales</t>
        </is>
      </c>
      <c r="B20" s="36">
        <f>-(SUMIF(IS!$O$6:$AL$6,COLUMN()-COLUMN($A$1),IS!$O$19:$AL$19))-Inputs_Budget!B8*1000</f>
        <v/>
      </c>
      <c r="C20" s="36">
        <f>-(SUMIF(IS!$O$6:$AL$6,COLUMN()-COLUMN($A$1),IS!$O$19:$AL$19))-Inputs_Budget!C8*1000</f>
        <v/>
      </c>
      <c r="D20" s="36">
        <f>-(SUMIF(IS!$O$6:$AL$6,COLUMN()-COLUMN($A$1),IS!$O$19:$AL$19))-Inputs_Budget!D8*1000</f>
        <v/>
      </c>
      <c r="E20" s="36">
        <f>-(SUMIF(IS!$O$6:$AL$6,COLUMN()-COLUMN($A$1),IS!$O$19:$AL$19))-Inputs_Budget!E8*1000</f>
        <v/>
      </c>
      <c r="F20" s="36">
        <f>SUM(B20:E20)</f>
        <v/>
      </c>
    </row>
    <row r="21">
      <c r="A21" s="5" t="inlineStr">
        <is>
          <t>Sales &amp; marketing</t>
        </is>
      </c>
      <c r="B21" s="36">
        <f>-(SUMIF(IS!$O$6:$AL$6,COLUMN()-COLUMN($A$1),IS!$O$25:$AL$25))-Inputs_Budget!B10*1000</f>
        <v/>
      </c>
      <c r="C21" s="36">
        <f>-(SUMIF(IS!$O$6:$AL$6,COLUMN()-COLUMN($A$1),IS!$O$25:$AL$25))-Inputs_Budget!C10*1000</f>
        <v/>
      </c>
      <c r="D21" s="36">
        <f>-(SUMIF(IS!$O$6:$AL$6,COLUMN()-COLUMN($A$1),IS!$O$25:$AL$25))-Inputs_Budget!D10*1000</f>
        <v/>
      </c>
      <c r="E21" s="36">
        <f>-(SUMIF(IS!$O$6:$AL$6,COLUMN()-COLUMN($A$1),IS!$O$25:$AL$25))-Inputs_Budget!E10*1000</f>
        <v/>
      </c>
      <c r="F21" s="36">
        <f>SUM(B21:E21)</f>
        <v/>
      </c>
    </row>
    <row r="22">
      <c r="A22" s="5" t="inlineStr">
        <is>
          <t>Research &amp; development</t>
        </is>
      </c>
      <c r="B22" s="36">
        <f>-(SUMIF(IS!$O$6:$AL$6,COLUMN()-COLUMN($A$1),IS!$O$24:$AL$24))-Inputs_Budget!B11*1000</f>
        <v/>
      </c>
      <c r="C22" s="36">
        <f>-(SUMIF(IS!$O$6:$AL$6,COLUMN()-COLUMN($A$1),IS!$O$24:$AL$24))-Inputs_Budget!C11*1000</f>
        <v/>
      </c>
      <c r="D22" s="36">
        <f>-(SUMIF(IS!$O$6:$AL$6,COLUMN()-COLUMN($A$1),IS!$O$24:$AL$24))-Inputs_Budget!D11*1000</f>
        <v/>
      </c>
      <c r="E22" s="36">
        <f>-(SUMIF(IS!$O$6:$AL$6,COLUMN()-COLUMN($A$1),IS!$O$24:$AL$24))-Inputs_Budget!E11*1000</f>
        <v/>
      </c>
      <c r="F22" s="36">
        <f>SUM(B22:E22)</f>
        <v/>
      </c>
    </row>
    <row r="23">
      <c r="A23" s="5" t="inlineStr">
        <is>
          <t>General &amp; administrative</t>
        </is>
      </c>
      <c r="B23" s="36">
        <f>-(SUMIF(IS!$O$6:$AL$6,COLUMN()-COLUMN($A$1),IS!$O$26:$AL$26))-Inputs_Budget!B12*1000</f>
        <v/>
      </c>
      <c r="C23" s="36">
        <f>-(SUMIF(IS!$O$6:$AL$6,COLUMN()-COLUMN($A$1),IS!$O$26:$AL$26))-Inputs_Budget!C12*1000</f>
        <v/>
      </c>
      <c r="D23" s="36">
        <f>-(SUMIF(IS!$O$6:$AL$6,COLUMN()-COLUMN($A$1),IS!$O$26:$AL$26))-Inputs_Budget!D12*1000</f>
        <v/>
      </c>
      <c r="E23" s="36">
        <f>-(SUMIF(IS!$O$6:$AL$6,COLUMN()-COLUMN($A$1),IS!$O$26:$AL$26))-Inputs_Budget!E12*1000</f>
        <v/>
      </c>
      <c r="F23" s="36">
        <f>SUM(B23:E23)</f>
        <v/>
      </c>
    </row>
    <row r="24">
      <c r="A24" s="3" t="inlineStr">
        <is>
          <t>EBITDA variance</t>
        </is>
      </c>
      <c r="B24" s="40">
        <f>B18+B19+B20+B21+B22+B23</f>
        <v/>
      </c>
      <c r="C24" s="40">
        <f>C18+C19+C20+C21+C22+C23</f>
        <v/>
      </c>
      <c r="D24" s="40">
        <f>D18+D19+D20+D21+D22+D23</f>
        <v/>
      </c>
      <c r="E24" s="40">
        <f>E18+E19+E20+E21+E22+E23</f>
        <v/>
      </c>
      <c r="F24" s="40">
        <f>F18+F19+F20+F21+F22+F23</f>
        <v/>
      </c>
    </row>
    <row r="26">
      <c r="A26" s="13" t="inlineStr">
        <is>
          <t>FY1 ARR drivers: budget vs forecast (GBP k)</t>
        </is>
      </c>
      <c r="B26" s="14" t="n"/>
      <c r="C26" s="14" t="n"/>
      <c r="D26" s="14" t="n"/>
      <c r="E26" s="14" t="n"/>
      <c r="F26" s="14" t="n"/>
      <c r="G26" s="14" t="n"/>
    </row>
    <row r="27">
      <c r="A27" s="11" t="inlineStr">
        <is>
          <t>Driver</t>
        </is>
      </c>
      <c r="B27" s="12" t="inlineStr">
        <is>
          <t>Budget</t>
        </is>
      </c>
      <c r="C27" s="12" t="inlineStr">
        <is>
          <t>Forecast</t>
        </is>
      </c>
      <c r="D27" s="12" t="inlineStr">
        <is>
          <t>Variance</t>
        </is>
      </c>
      <c r="E27" s="12" t="inlineStr"/>
      <c r="F27" s="12" t="inlineStr"/>
      <c r="G27" s="12" t="inlineStr"/>
    </row>
    <row r="28">
      <c r="A28" s="5" t="inlineStr">
        <is>
          <t>Opening ARR</t>
        </is>
      </c>
      <c r="B28" s="36">
        <f>Inputs_Budget!B17*1000</f>
        <v/>
      </c>
      <c r="C28" s="19">
        <f>Rev_Build!AN43</f>
        <v/>
      </c>
      <c r="D28" s="36">
        <f>C28-B28</f>
        <v/>
      </c>
    </row>
    <row r="29">
      <c r="A29" s="5" t="inlineStr">
        <is>
          <t>New-customer ARR</t>
        </is>
      </c>
      <c r="B29" s="36">
        <f>Inputs_Budget!B18*1000</f>
        <v/>
      </c>
      <c r="C29" s="19">
        <f>Rev_Build!AN44</f>
        <v/>
      </c>
      <c r="D29" s="36">
        <f>C29-B29</f>
        <v/>
      </c>
    </row>
    <row r="30">
      <c r="A30" s="5" t="inlineStr">
        <is>
          <t>Expansion ARR</t>
        </is>
      </c>
      <c r="B30" s="36">
        <f>Inputs_Budget!B19*1000</f>
        <v/>
      </c>
      <c r="C30" s="19">
        <f>Rev_Build!AN45</f>
        <v/>
      </c>
      <c r="D30" s="36">
        <f>C30-B30</f>
        <v/>
      </c>
    </row>
    <row r="31">
      <c r="A31" s="5" t="inlineStr">
        <is>
          <t>Churned ARR</t>
        </is>
      </c>
      <c r="B31" s="36">
        <f>Inputs_Budget!B20*1000</f>
        <v/>
      </c>
      <c r="C31" s="19">
        <f>Rev_Build!AN46</f>
        <v/>
      </c>
      <c r="D31" s="36">
        <f>C31-B31</f>
        <v/>
      </c>
    </row>
    <row r="32">
      <c r="A32" s="3" t="inlineStr">
        <is>
          <t>Closing ARR</t>
        </is>
      </c>
      <c r="B32" s="36">
        <f>SUM(B28:B31)</f>
        <v/>
      </c>
      <c r="C32" s="36">
        <f>SUM(C28:C31)</f>
        <v/>
      </c>
      <c r="D32" s="36">
        <f>C32-B32</f>
        <v/>
      </c>
    </row>
    <row r="33">
      <c r="A33" s="5" t="inlineStr">
        <is>
          <t>New customers (number)</t>
        </is>
      </c>
      <c r="B33" s="19">
        <f>Inputs_Budget!B22</f>
        <v/>
      </c>
      <c r="C33" s="19">
        <f>Rev_Build!AN49</f>
        <v/>
      </c>
      <c r="D33" s="36">
        <f>C33-B33</f>
        <v/>
      </c>
    </row>
    <row r="34">
      <c r="A34" s="5" t="inlineStr">
        <is>
          <t>Average ACV of new customers</t>
        </is>
      </c>
      <c r="B34" s="34">
        <f>B29/B33</f>
        <v/>
      </c>
      <c r="C34" s="34">
        <f>C29/C33</f>
        <v/>
      </c>
      <c r="D34" s="34">
        <f>C34-B34</f>
        <v/>
      </c>
    </row>
    <row r="35">
      <c r="A35" s="5" t="inlineStr">
        <is>
          <t>Closing headcount (FTE)</t>
        </is>
      </c>
      <c r="B35" s="19">
        <f>Inputs_Budget!B23</f>
        <v/>
      </c>
      <c r="C35" s="19">
        <f>Headcount_Opex!AN33</f>
        <v/>
      </c>
      <c r="D35" s="36">
        <f>C35-B35</f>
        <v/>
      </c>
    </row>
    <row r="37">
      <c r="A37" s="13" t="inlineStr">
        <is>
          <t>Bridge 1: FY1 closing ARR, budget to forecast (GBP k)</t>
        </is>
      </c>
      <c r="B37" s="14" t="n"/>
      <c r="C37" s="14" t="n"/>
      <c r="D37" s="14" t="n"/>
      <c r="E37" s="14" t="n"/>
      <c r="F37" s="14" t="n"/>
      <c r="G37" s="14" t="n"/>
    </row>
    <row r="38">
      <c r="A38" s="11" t="inlineStr">
        <is>
          <t>Step</t>
        </is>
      </c>
      <c r="B38" s="12" t="inlineStr">
        <is>
          <t>GBP k</t>
        </is>
      </c>
      <c r="C38" s="12" t="inlineStr">
        <is>
          <t>Cumulative</t>
        </is>
      </c>
      <c r="D38" s="12" t="inlineStr"/>
      <c r="E38" s="12" t="inlineStr"/>
      <c r="F38" s="12" t="inlineStr"/>
      <c r="G38" s="12" t="inlineStr">
        <is>
          <t>How it is calculated</t>
        </is>
      </c>
    </row>
    <row r="39">
      <c r="A39" s="3" t="inlineStr">
        <is>
          <t>Budget closing ARR</t>
        </is>
      </c>
      <c r="B39" s="42">
        <f>B32</f>
        <v/>
      </c>
      <c r="C39" s="36">
        <f>B39</f>
        <v/>
      </c>
      <c r="G39" s="2" t="inlineStr">
        <is>
          <t>Budget</t>
        </is>
      </c>
    </row>
    <row r="40">
      <c r="A40" s="5" t="inlineStr">
        <is>
          <t>Opening ARR difference</t>
        </is>
      </c>
      <c r="B40" s="36">
        <f>C28-B28</f>
        <v/>
      </c>
      <c r="C40" s="36">
        <f>C39+B40</f>
        <v/>
      </c>
      <c r="G40" s="2" t="inlineStr">
        <is>
          <t>Forecast opening ARR - budget opening ARR</t>
        </is>
      </c>
    </row>
    <row r="41">
      <c r="A41" s="5" t="inlineStr">
        <is>
          <t>Volume: number of new customers</t>
        </is>
      </c>
      <c r="B41" s="36">
        <f>(C33-B33)*B34</f>
        <v/>
      </c>
      <c r="C41" s="36">
        <f>C40+B41</f>
        <v/>
      </c>
      <c r="G41" s="2" t="inlineStr">
        <is>
          <t>(forecast customers - budget customers) x budget ACV</t>
        </is>
      </c>
    </row>
    <row r="42">
      <c r="A42" s="5" t="inlineStr">
        <is>
          <t>Price: ACV of new customers</t>
        </is>
      </c>
      <c r="B42" s="36">
        <f>C33*(C34-B34)</f>
        <v/>
      </c>
      <c r="C42" s="36">
        <f>C41+B42</f>
        <v/>
      </c>
      <c r="G42" s="2" t="inlineStr">
        <is>
          <t>forecast customers x (forecast ACV - budget ACV)</t>
        </is>
      </c>
    </row>
    <row r="43">
      <c r="A43" s="5" t="inlineStr">
        <is>
          <t>Expansion</t>
        </is>
      </c>
      <c r="B43" s="36">
        <f>C30-B30</f>
        <v/>
      </c>
      <c r="C43" s="36">
        <f>C42+B43</f>
        <v/>
      </c>
      <c r="G43" s="2" t="inlineStr">
        <is>
          <t>Forecast expansion - budget expansion</t>
        </is>
      </c>
    </row>
    <row r="44">
      <c r="A44" s="5" t="inlineStr">
        <is>
          <t>Churn</t>
        </is>
      </c>
      <c r="B44" s="36">
        <f>C31-B31</f>
        <v/>
      </c>
      <c r="C44" s="36">
        <f>C43+B44</f>
        <v/>
      </c>
      <c r="G44" s="2" t="inlineStr">
        <is>
          <t>Forecast churn - budget churn (negative = more churn than budget)</t>
        </is>
      </c>
    </row>
    <row r="45">
      <c r="A45" s="3" t="inlineStr">
        <is>
          <t>Forecast closing ARR</t>
        </is>
      </c>
      <c r="B45" s="42">
        <f>C32</f>
        <v/>
      </c>
      <c r="C45" s="42">
        <f>C44</f>
        <v/>
      </c>
      <c r="G45" s="2" t="inlineStr">
        <is>
          <t>Bridge ends here; tie-out below must be zero</t>
        </is>
      </c>
    </row>
    <row r="47">
      <c r="A47" s="13" t="inlineStr">
        <is>
          <t>Bridge 2: FY1 revenue, budget to forecast (GBP k)</t>
        </is>
      </c>
      <c r="B47" s="14" t="n"/>
      <c r="C47" s="14" t="n"/>
      <c r="D47" s="14" t="n"/>
      <c r="E47" s="14" t="n"/>
      <c r="F47" s="14" t="n"/>
      <c r="G47" s="14" t="n"/>
    </row>
    <row r="48">
      <c r="A48" s="11" t="inlineStr">
        <is>
          <t>Step</t>
        </is>
      </c>
      <c r="B48" s="12" t="inlineStr">
        <is>
          <t>GBP k</t>
        </is>
      </c>
      <c r="C48" s="12" t="inlineStr">
        <is>
          <t>Cumulative</t>
        </is>
      </c>
      <c r="D48" s="12" t="inlineStr"/>
      <c r="E48" s="12" t="inlineStr"/>
      <c r="F48" s="12" t="inlineStr"/>
      <c r="G48" s="12" t="inlineStr">
        <is>
          <t>How it is calculated</t>
        </is>
      </c>
    </row>
    <row r="49">
      <c r="A49" s="3" t="inlineStr">
        <is>
          <t>Budget revenue</t>
        </is>
      </c>
      <c r="B49" s="42">
        <f>B7</f>
        <v/>
      </c>
      <c r="C49" s="36">
        <f>B49</f>
        <v/>
      </c>
      <c r="G49" s="2" t="inlineStr">
        <is>
          <t>Budget</t>
        </is>
      </c>
    </row>
    <row r="50">
      <c r="A50" s="5" t="inlineStr">
        <is>
          <t>Volume</t>
        </is>
      </c>
      <c r="B50" s="36">
        <f>B41*0.5</f>
        <v/>
      </c>
      <c r="C50" s="36">
        <f>C49+B50</f>
        <v/>
      </c>
      <c r="G50" s="2" t="inlineStr">
        <is>
          <t>ARR volume effect x 0.5: flows land mid-year on average, so about half reaches FY1 revenue</t>
        </is>
      </c>
    </row>
    <row r="51">
      <c r="A51" s="5" t="inlineStr">
        <is>
          <t>Price</t>
        </is>
      </c>
      <c r="B51" s="36">
        <f>B42*0.5</f>
        <v/>
      </c>
      <c r="C51" s="36">
        <f>C50+B51</f>
        <v/>
      </c>
      <c r="G51" s="2" t="inlineStr">
        <is>
          <t>ARR price effect x 0.5 (same mid-year convention)</t>
        </is>
      </c>
    </row>
    <row r="52">
      <c r="A52" s="5" t="inlineStr">
        <is>
          <t>Expansion</t>
        </is>
      </c>
      <c r="B52" s="36">
        <f>B43*0.5</f>
        <v/>
      </c>
      <c r="C52" s="36">
        <f>C51+B52</f>
        <v/>
      </c>
      <c r="G52" s="2" t="inlineStr">
        <is>
          <t>ARR expansion effect x 0.5</t>
        </is>
      </c>
    </row>
    <row r="53">
      <c r="A53" s="5" t="inlineStr">
        <is>
          <t>Churn</t>
        </is>
      </c>
      <c r="B53" s="36">
        <f>B44*0.5</f>
        <v/>
      </c>
      <c r="C53" s="36">
        <f>C52+B53</f>
        <v/>
      </c>
      <c r="G53" s="2" t="inlineStr">
        <is>
          <t>ARR churn effect x 0.5</t>
        </is>
      </c>
    </row>
    <row r="54">
      <c r="A54" s="5" t="inlineStr">
        <is>
          <t>Timing / other (residual)</t>
        </is>
      </c>
      <c r="B54" s="36">
        <f>C7-C53</f>
        <v/>
      </c>
      <c r="C54" s="36">
        <f>C53+B54</f>
        <v/>
      </c>
      <c r="G54" s="2" t="inlineStr">
        <is>
          <t>Billing-to-revenue timing, implementation fees, intra-year phasing: whatever the ARR effects do not explain</t>
        </is>
      </c>
    </row>
    <row r="55">
      <c r="A55" s="3" t="inlineStr">
        <is>
          <t>Forecast revenue</t>
        </is>
      </c>
      <c r="B55" s="42">
        <f>C7</f>
        <v/>
      </c>
      <c r="C55" s="42">
        <f>C54</f>
        <v/>
      </c>
    </row>
    <row r="57">
      <c r="A57" s="13" t="inlineStr">
        <is>
          <t>Bridge 3: FY1 EBITDA, budget to forecast (GBP k)</t>
        </is>
      </c>
      <c r="B57" s="14" t="n"/>
      <c r="C57" s="14" t="n"/>
      <c r="D57" s="14" t="n"/>
      <c r="E57" s="14" t="n"/>
      <c r="F57" s="14" t="n"/>
      <c r="G57" s="14" t="n"/>
    </row>
    <row r="58">
      <c r="A58" s="11" t="inlineStr">
        <is>
          <t>Step</t>
        </is>
      </c>
      <c r="B58" s="12" t="inlineStr">
        <is>
          <t>GBP k</t>
        </is>
      </c>
      <c r="C58" s="12" t="inlineStr">
        <is>
          <t>Cumulative</t>
        </is>
      </c>
      <c r="D58" s="12" t="inlineStr"/>
      <c r="E58" s="12" t="inlineStr"/>
      <c r="F58" s="12" t="inlineStr"/>
      <c r="G58" s="12" t="inlineStr">
        <is>
          <t>How it is calculated</t>
        </is>
      </c>
    </row>
    <row r="59">
      <c r="A59" s="3" t="inlineStr">
        <is>
          <t>Budget EBITDA</t>
        </is>
      </c>
      <c r="B59" s="42">
        <f>B14</f>
        <v/>
      </c>
      <c r="C59" s="36">
        <f>B59</f>
        <v/>
      </c>
      <c r="G59" s="2" t="inlineStr">
        <is>
          <t>Budget</t>
        </is>
      </c>
    </row>
    <row r="60">
      <c r="A60" s="5" t="inlineStr">
        <is>
          <t>Revenue</t>
        </is>
      </c>
      <c r="B60" s="36">
        <f>D7</f>
        <v/>
      </c>
      <c r="C60" s="36">
        <f>C59+B60</f>
        <v/>
      </c>
      <c r="G60" s="2" t="inlineStr">
        <is>
          <t>Total revenue variance</t>
        </is>
      </c>
    </row>
    <row r="61">
      <c r="A61" s="5" t="inlineStr">
        <is>
          <t>Cost of sales</t>
        </is>
      </c>
      <c r="B61" s="36">
        <f>D8</f>
        <v/>
      </c>
      <c r="C61" s="36">
        <f>C60+B61</f>
        <v/>
      </c>
      <c r="G61" s="2" t="inlineStr">
        <is>
          <t>Positive = lower cost than budget</t>
        </is>
      </c>
    </row>
    <row r="62">
      <c r="A62" s="5" t="inlineStr">
        <is>
          <t>Sales &amp; marketing</t>
        </is>
      </c>
      <c r="B62" s="36">
        <f>D10</f>
        <v/>
      </c>
      <c r="C62" s="36">
        <f>C61+B62</f>
        <v/>
      </c>
      <c r="G62" s="2" t="inlineStr">
        <is>
          <t>Includes the effect of capitalising commission</t>
        </is>
      </c>
    </row>
    <row r="63">
      <c r="A63" s="5" t="inlineStr">
        <is>
          <t>Research &amp; development</t>
        </is>
      </c>
      <c r="B63" s="36">
        <f>D11</f>
        <v/>
      </c>
      <c r="C63" s="36">
        <f>C62+B63</f>
        <v/>
      </c>
      <c r="G63" s="2" t="inlineStr"/>
    </row>
    <row r="64">
      <c r="A64" s="5" t="inlineStr">
        <is>
          <t>General &amp; administrative</t>
        </is>
      </c>
      <c r="B64" s="36">
        <f>D12</f>
        <v/>
      </c>
      <c r="C64" s="36">
        <f>C63+B64</f>
        <v/>
      </c>
      <c r="G64" s="2" t="inlineStr"/>
    </row>
    <row r="65">
      <c r="A65" s="3" t="inlineStr">
        <is>
          <t>Forecast EBITDA</t>
        </is>
      </c>
      <c r="B65" s="42">
        <f>C14</f>
        <v/>
      </c>
      <c r="C65" s="42">
        <f>C64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8" t="inlineStr">
        <is>
          <t>Lever_Analysis - which drivers move each metric, and by how much</t>
        </is>
      </c>
    </row>
    <row r="2">
      <c r="A2" s="2" t="inlineStr">
        <is>
          <t>Static, engine-run: each driver is moved one step down and up with everything else at Base, and the whole workbook is recalculated (validation/snapshots.py). Grey italic = pasted engine output. Section A shows whether the snapshot still matches the live model.</t>
        </is>
      </c>
    </row>
    <row r="4">
      <c r="A4" s="13" t="inlineStr">
        <is>
          <t>A. Snapshot check: live model vs Base snapshot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11" t="inlineStr">
        <is>
          <t>Metric</t>
        </is>
      </c>
      <c r="B5" s="12" t="inlineStr">
        <is>
          <t>Live</t>
        </is>
      </c>
      <c r="C5" s="12" t="inlineStr">
        <is>
          <t>Snapshot</t>
        </is>
      </c>
      <c r="D5" s="12" t="inlineStr">
        <is>
          <t>Gap</t>
        </is>
      </c>
      <c r="E5" s="12" t="inlineStr">
        <is>
          <t>Status</t>
        </is>
      </c>
    </row>
    <row r="6">
      <c r="A6" s="5" t="inlineStr">
        <is>
          <t>FY1 revenue</t>
        </is>
      </c>
      <c r="B6" s="19">
        <f>IS!AN12</f>
        <v/>
      </c>
      <c r="C6" s="58" t="n">
        <v>48367.07750957378</v>
      </c>
      <c r="D6" s="36">
        <f>IF(ISNUMBER(B6),B6-C6,0)</f>
        <v/>
      </c>
      <c r="E6" s="56">
        <f>IF(inp_scenario&lt;&gt;"Base","switch to Base to check",IF(ABS(D6)&lt;=IF(ABS(C6)&lt;10,chk_tol/100,chk_tol),"OK","STALE"))</f>
        <v/>
      </c>
    </row>
    <row r="7">
      <c r="A7" s="5" t="inlineStr">
        <is>
          <t>FY2 revenue</t>
        </is>
      </c>
      <c r="B7" s="19">
        <f>IS!AO12</f>
        <v/>
      </c>
      <c r="C7" s="58" t="n">
        <v>62987.25423151415</v>
      </c>
      <c r="D7" s="36">
        <f>IF(ISNUMBER(B7),B7-C7,0)</f>
        <v/>
      </c>
      <c r="E7" s="56">
        <f>IF(inp_scenario&lt;&gt;"Base","switch to Base to check",IF(ABS(D7)&lt;=IF(ABS(C7)&lt;10,chk_tol/100,chk_tol),"OK","STALE"))</f>
        <v/>
      </c>
    </row>
    <row r="8">
      <c r="A8" s="5" t="inlineStr">
        <is>
          <t>FY1 EBITDA</t>
        </is>
      </c>
      <c r="B8" s="19">
        <f>IS!AN29</f>
        <v/>
      </c>
      <c r="C8" s="58" t="n">
        <v>-6972.478953642627</v>
      </c>
      <c r="D8" s="36">
        <f>IF(ISNUMBER(B8),B8-C8,0)</f>
        <v/>
      </c>
      <c r="E8" s="56">
        <f>IF(inp_scenario&lt;&gt;"Base","switch to Base to check",IF(ABS(D8)&lt;=IF(ABS(C8)&lt;10,chk_tol/100,chk_tol),"OK","STALE"))</f>
        <v/>
      </c>
    </row>
    <row r="9">
      <c r="A9" s="5" t="inlineStr">
        <is>
          <t>FY2 EBITDA</t>
        </is>
      </c>
      <c r="B9" s="19">
        <f>IS!AO29</f>
        <v/>
      </c>
      <c r="C9" s="58" t="n">
        <v>-3129.306617638708</v>
      </c>
      <c r="D9" s="36">
        <f>IF(ISNUMBER(B9),B9-C9,0)</f>
        <v/>
      </c>
      <c r="E9" s="56">
        <f>IF(inp_scenario&lt;&gt;"Base","switch to Base to check",IF(ABS(D9)&lt;=IF(ABS(C9)&lt;10,chk_tol/100,chk_tol),"OK","STALE"))</f>
        <v/>
      </c>
    </row>
    <row r="10">
      <c r="A10" s="5" t="inlineStr">
        <is>
          <t>ARR, month 12</t>
        </is>
      </c>
      <c r="B10" s="19">
        <f>SaaS_Metrics!Z13</f>
        <v/>
      </c>
      <c r="C10" s="58" t="n">
        <v>53403.64877749029</v>
      </c>
      <c r="D10" s="36">
        <f>IF(ISNUMBER(B10),B10-C10,0)</f>
        <v/>
      </c>
      <c r="E10" s="56">
        <f>IF(inp_scenario&lt;&gt;"Base","switch to Base to check",IF(ABS(D10)&lt;=IF(ABS(C10)&lt;10,chk_tol/100,chk_tol),"OK","STALE"))</f>
        <v/>
      </c>
    </row>
    <row r="11">
      <c r="A11" s="5" t="inlineStr">
        <is>
          <t>ARR, month 24</t>
        </is>
      </c>
      <c r="B11" s="19">
        <f>SaaS_Metrics!AL13</f>
        <v/>
      </c>
      <c r="C11" s="58" t="n">
        <v>68321.2390608875</v>
      </c>
      <c r="D11" s="36">
        <f>IF(ISNUMBER(B11),B11-C11,0)</f>
        <v/>
      </c>
      <c r="E11" s="56">
        <f>IF(inp_scenario&lt;&gt;"Base","switch to Base to check",IF(ABS(D11)&lt;=IF(ABS(C11)&lt;10,chk_tol/100,chk_tol),"OK","STALE"))</f>
        <v/>
      </c>
    </row>
    <row r="12">
      <c r="A12" s="5" t="inlineStr">
        <is>
          <t>ARR growth, month 12</t>
        </is>
      </c>
      <c r="B12" s="17">
        <f>SaaS_Metrics!Z16</f>
        <v/>
      </c>
      <c r="C12" s="59" t="n">
        <v>0.3350912194372571</v>
      </c>
      <c r="D12" s="35">
        <f>IF(ISNUMBER(B12),B12-C12,0)</f>
        <v/>
      </c>
      <c r="E12" s="56">
        <f>IF(inp_scenario&lt;&gt;"Base","switch to Base to check",IF(ABS(D12)&lt;=IF(ABS(C12)&lt;10,chk_tol/100,chk_tol),"OK","STALE"))</f>
        <v/>
      </c>
    </row>
    <row r="13">
      <c r="A13" s="5" t="inlineStr">
        <is>
          <t>NRR (annualised), month 12</t>
        </is>
      </c>
      <c r="B13" s="17">
        <f>SaaS_Metrics!Z19</f>
        <v/>
      </c>
      <c r="C13" s="59" t="n">
        <v>1.027683678183687</v>
      </c>
      <c r="D13" s="35">
        <f>IF(ISNUMBER(B13),B13-C13,0)</f>
        <v/>
      </c>
      <c r="E13" s="56">
        <f>IF(inp_scenario&lt;&gt;"Base","switch to Base to check",IF(ABS(D13)&lt;=IF(ABS(C13)&lt;10,chk_tol/100,chk_tol),"OK","STALE"))</f>
        <v/>
      </c>
    </row>
    <row r="14">
      <c r="A14" s="5" t="inlineStr">
        <is>
          <t>GRR (annualised), month 12</t>
        </is>
      </c>
      <c r="B14" s="17">
        <f>SaaS_Metrics!Z20</f>
        <v/>
      </c>
      <c r="C14" s="59" t="n">
        <v>0.9197926144589365</v>
      </c>
      <c r="D14" s="35">
        <f>IF(ISNUMBER(B14),B14-C14,0)</f>
        <v/>
      </c>
      <c r="E14" s="56">
        <f>IF(inp_scenario&lt;&gt;"Base","switch to Base to check",IF(ABS(D14)&lt;=IF(ABS(C14)&lt;10,chk_tol/100,chk_tol),"OK","STALE"))</f>
        <v/>
      </c>
    </row>
    <row r="15">
      <c r="A15" s="5" t="inlineStr">
        <is>
          <t>CAC payback (months), month 12</t>
        </is>
      </c>
      <c r="B15" s="60">
        <f>SaaS_Metrics!Z28</f>
        <v/>
      </c>
      <c r="C15" s="61" t="n">
        <v>18.82861402310649</v>
      </c>
      <c r="D15" s="62">
        <f>IF(ISNUMBER(B15),B15-C15,0)</f>
        <v/>
      </c>
      <c r="E15" s="56">
        <f>IF(inp_scenario&lt;&gt;"Base","switch to Base to check",IF(ABS(D15)&lt;=IF(ABS(C15)&lt;10,chk_tol/100,chk_tol),"OK","STALE"))</f>
        <v/>
      </c>
    </row>
    <row r="16">
      <c r="A16" s="5" t="inlineStr">
        <is>
          <t>LTV / CAC, month 12</t>
        </is>
      </c>
      <c r="B16" s="63">
        <f>SaaS_Metrics!Z31</f>
        <v/>
      </c>
      <c r="C16" s="64" t="n">
        <v>4.502722161208029</v>
      </c>
      <c r="D16" s="51">
        <f>IF(ISNUMBER(B16),B16-C16,0)</f>
        <v/>
      </c>
      <c r="E16" s="56">
        <f>IF(inp_scenario&lt;&gt;"Base","switch to Base to check",IF(ABS(D16)&lt;=IF(ABS(C16)&lt;10,chk_tol/100,chk_tol),"OK","STALE"))</f>
        <v/>
      </c>
    </row>
    <row r="17">
      <c r="A17" s="5" t="inlineStr">
        <is>
          <t>Cash, month 24</t>
        </is>
      </c>
      <c r="B17" s="19">
        <f>BS!AL9</f>
        <v/>
      </c>
      <c r="C17" s="58" t="n">
        <v>22579.06116805044</v>
      </c>
      <c r="D17" s="36">
        <f>IF(ISNUMBER(B17),B17-C17,0)</f>
        <v/>
      </c>
      <c r="E17" s="56">
        <f>IF(inp_scenario&lt;&gt;"Base","switch to Base to check",IF(ABS(D17)&lt;=IF(ABS(C17)&lt;10,chk_tol/100,chk_tol),"OK","STALE"))</f>
        <v/>
      </c>
    </row>
    <row r="18">
      <c r="A18" s="5" t="inlineStr">
        <is>
          <t>Lowest month-end cash</t>
        </is>
      </c>
      <c r="B18" s="19">
        <f>Sensitivity!B4</f>
        <v/>
      </c>
      <c r="C18" s="58" t="n">
        <v>20882.23290237776</v>
      </c>
      <c r="D18" s="36">
        <f>IF(ISNUMBER(B18),B18-C18,0)</f>
        <v/>
      </c>
      <c r="E18" s="56">
        <f>IF(inp_scenario&lt;&gt;"Base","switch to Base to check",IF(ABS(D18)&lt;=IF(ABS(C18)&lt;10,chk_tol/100,chk_tol),"OK","STALE"))</f>
        <v/>
      </c>
    </row>
    <row r="19">
      <c r="A19" s="5" t="inlineStr">
        <is>
          <t>Headcount (FTE), month 24</t>
        </is>
      </c>
      <c r="B19" s="19">
        <f>Headcount_Opex!AL33</f>
        <v/>
      </c>
      <c r="C19" s="58" t="n">
        <v>587.1999999999999</v>
      </c>
      <c r="D19" s="36">
        <f>IF(ISNUMBER(B19),B19-C19,0)</f>
        <v/>
      </c>
      <c r="E19" s="56">
        <f>IF(inp_scenario&lt;&gt;"Base","switch to Base to check",IF(ABS(D19)&lt;=IF(ABS(C19)&lt;10,chk_tol/100,chk_tol),"OK","STALE"))</f>
        <v/>
      </c>
    </row>
    <row r="20">
      <c r="A20" s="5" t="inlineStr">
        <is>
          <t>Rule of 40, month 24</t>
        </is>
      </c>
      <c r="B20" s="17">
        <f>SaaS_Metrics!AL39</f>
        <v/>
      </c>
      <c r="C20" s="59" t="n">
        <v>0.273556037626191</v>
      </c>
      <c r="D20" s="35">
        <f>IF(ISNUMBER(B20),B20-C20,0)</f>
        <v/>
      </c>
      <c r="E20" s="56">
        <f>IF(inp_scenario&lt;&gt;"Base","switch to Base to check",IF(ABS(D20)&lt;=IF(ABS(C20)&lt;10,chk_tol/100,chk_tol),"OK","STALE"))</f>
        <v/>
      </c>
    </row>
    <row r="21">
      <c r="A21" s="5" t="inlineStr">
        <is>
          <t>Deal value created (NPV)</t>
        </is>
      </c>
      <c r="B21" s="19">
        <f>MA_Returns!C25</f>
        <v/>
      </c>
      <c r="C21" s="58" t="n">
        <v>7332.791679635993</v>
      </c>
      <c r="D21" s="36">
        <f>IF(ISNUMBER(B21),B21-C21,0)</f>
        <v/>
      </c>
      <c r="E21" s="56">
        <f>IF(inp_scenario&lt;&gt;"Base","switch to Base to check",IF(ABS(D21)&lt;=IF(ABS(C21)&lt;10,chk_tol/100,chk_tol),"OK","STALE"))</f>
        <v/>
      </c>
    </row>
    <row r="22">
      <c r="A22" s="5" t="inlineStr">
        <is>
          <t>Pro-forma ARR, month 24</t>
        </is>
      </c>
      <c r="B22" s="19">
        <f>MA_ProForma!AL94</f>
        <v/>
      </c>
      <c r="C22" s="58" t="n">
        <v>76704.9049518606</v>
      </c>
      <c r="D22" s="36">
        <f>IF(ISNUMBER(B22),B22-C22,0)</f>
        <v/>
      </c>
      <c r="E22" s="56">
        <f>IF(inp_scenario&lt;&gt;"Base","switch to Base to check",IF(ABS(D22)&lt;=IF(ABS(C22)&lt;10,chk_tol/100,chk_tol),"OK","STALE"))</f>
        <v/>
      </c>
    </row>
    <row r="23">
      <c r="A23" s="5" t="inlineStr">
        <is>
          <t>Pro-forma cash, month 24</t>
        </is>
      </c>
      <c r="B23" s="19">
        <f>MA_ProForma!AL74</f>
        <v/>
      </c>
      <c r="C23" s="58" t="n">
        <v>8913.328274660522</v>
      </c>
      <c r="D23" s="36">
        <f>IF(ISNUMBER(B23),B23-C23,0)</f>
        <v/>
      </c>
      <c r="E23" s="56">
        <f>IF(inp_scenario&lt;&gt;"Base","switch to Base to check",IF(ABS(D23)&lt;=IF(ABS(C23)&lt;10,chk_tol/100,chk_tol),"OK","STALE"))</f>
        <v/>
      </c>
    </row>
    <row r="24">
      <c r="A24" s="5" t="inlineStr">
        <is>
          <t>Pro-forma lowest month-end cash</t>
        </is>
      </c>
      <c r="B24" s="19">
        <f>MA_Returns!C49</f>
        <v/>
      </c>
      <c r="C24" s="58" t="n">
        <v>6024.437011732435</v>
      </c>
      <c r="D24" s="36">
        <f>IF(ISNUMBER(B24),B24-C24,0)</f>
        <v/>
      </c>
      <c r="E24" s="56">
        <f>IF(inp_scenario&lt;&gt;"Base","switch to Base to check",IF(ABS(D24)&lt;=IF(ABS(C24)&lt;10,chk_tol/100,chk_tol),"OK","STALE"))</f>
        <v/>
      </c>
    </row>
    <row r="27">
      <c r="A27" s="13" t="inlineStr">
        <is>
          <t>B. Impact matrix: metric value with the driver one step DOWN / UP; impact = (up - down) / 2 per step</t>
        </is>
      </c>
      <c r="B27" s="14" t="n"/>
      <c r="C27" s="13" t="inlineStr">
        <is>
          <t>ARR, month 24</t>
        </is>
      </c>
      <c r="D27" s="14" t="n"/>
      <c r="E27" s="14" t="n"/>
      <c r="F27" s="13" t="inlineStr">
        <is>
          <t>NRR (annualised), month 12</t>
        </is>
      </c>
      <c r="G27" s="14" t="n"/>
      <c r="H27" s="14" t="n"/>
      <c r="I27" s="13" t="inlineStr">
        <is>
          <t>CAC payback (months), month 12</t>
        </is>
      </c>
      <c r="L27" s="13" t="inlineStr">
        <is>
          <t>Cash, month 24</t>
        </is>
      </c>
      <c r="O27" s="13" t="inlineStr">
        <is>
          <t>FY2 EBITDA</t>
        </is>
      </c>
    </row>
    <row r="28">
      <c r="A28" s="11" t="inlineStr">
        <is>
          <t>Driver</t>
        </is>
      </c>
      <c r="B28" s="12" t="inlineStr">
        <is>
          <t>Step</t>
        </is>
      </c>
      <c r="C28" s="12" t="inlineStr">
        <is>
          <t>down</t>
        </is>
      </c>
      <c r="D28" s="12" t="inlineStr">
        <is>
          <t>up</t>
        </is>
      </c>
      <c r="E28" s="12" t="inlineStr">
        <is>
          <t>impact</t>
        </is>
      </c>
      <c r="F28" s="12" t="inlineStr">
        <is>
          <t>down</t>
        </is>
      </c>
      <c r="G28" s="12" t="inlineStr">
        <is>
          <t>up</t>
        </is>
      </c>
      <c r="H28" s="12" t="inlineStr">
        <is>
          <t>impact</t>
        </is>
      </c>
      <c r="I28" s="12" t="inlineStr">
        <is>
          <t>down</t>
        </is>
      </c>
      <c r="J28" s="12" t="inlineStr">
        <is>
          <t>up</t>
        </is>
      </c>
      <c r="K28" s="12" t="inlineStr">
        <is>
          <t>impact</t>
        </is>
      </c>
      <c r="L28" s="12" t="inlineStr">
        <is>
          <t>down</t>
        </is>
      </c>
      <c r="M28" s="12" t="inlineStr">
        <is>
          <t>up</t>
        </is>
      </c>
      <c r="N28" s="12" t="inlineStr">
        <is>
          <t>impact</t>
        </is>
      </c>
      <c r="O28" s="12" t="inlineStr">
        <is>
          <t>down</t>
        </is>
      </c>
      <c r="P28" s="12" t="inlineStr">
        <is>
          <t>up</t>
        </is>
      </c>
      <c r="Q28" s="12" t="inlineStr">
        <is>
          <t>impact</t>
        </is>
      </c>
      <c r="S28" s="12" t="inlineStr">
        <is>
          <t>|ARR, month 24|</t>
        </is>
      </c>
      <c r="T28" s="12" t="inlineStr">
        <is>
          <t>|NRR (annualise|</t>
        </is>
      </c>
      <c r="U28" s="12" t="inlineStr">
        <is>
          <t>|CAC payback (m|</t>
        </is>
      </c>
      <c r="V28" s="12" t="inlineStr">
        <is>
          <t>|Cash, month 24|</t>
        </is>
      </c>
      <c r="W28" s="12" t="inlineStr">
        <is>
          <t>|FY2 EBITDA|</t>
        </is>
      </c>
    </row>
    <row r="29">
      <c r="A29" s="5" t="inlineStr">
        <is>
          <t>Enterprise gross churn</t>
        </is>
      </c>
      <c r="B29" s="24" t="n">
        <v>0.01</v>
      </c>
      <c r="C29" s="58" t="n">
        <v>69127.24134433464</v>
      </c>
      <c r="D29" s="58" t="n">
        <v>67522.32818227266</v>
      </c>
      <c r="E29" s="36">
        <f>(D29-C29)/2</f>
        <v/>
      </c>
      <c r="F29" s="59" t="n">
        <v>1.035213005448879</v>
      </c>
      <c r="G29" s="59" t="n">
        <v>1.020171746227585</v>
      </c>
      <c r="H29" s="35">
        <f>(G29-F29)/2</f>
        <v/>
      </c>
      <c r="I29" s="61" t="n">
        <v>18.77818401673985</v>
      </c>
      <c r="J29" s="61" t="n">
        <v>18.87944900059844</v>
      </c>
      <c r="K29" s="62">
        <f>(J29-I29)/2</f>
        <v/>
      </c>
      <c r="L29" s="58" t="n">
        <v>23335.5240835193</v>
      </c>
      <c r="M29" s="58" t="n">
        <v>21821.20171001465</v>
      </c>
      <c r="N29" s="36">
        <f>(M29-L29)/2</f>
        <v/>
      </c>
      <c r="O29" s="58" t="n">
        <v>-2713.077852097287</v>
      </c>
      <c r="P29" s="58" t="n">
        <v>-3542.983168114029</v>
      </c>
      <c r="Q29" s="36">
        <f>(P29-O29)/2</f>
        <v/>
      </c>
      <c r="S29" s="36">
        <f>ABS(E29)</f>
        <v/>
      </c>
      <c r="T29" s="35">
        <f>ABS(H29)</f>
        <v/>
      </c>
      <c r="U29" s="62">
        <f>ABS(K29)</f>
        <v/>
      </c>
      <c r="V29" s="36">
        <f>ABS(N29)</f>
        <v/>
      </c>
      <c r="W29" s="36">
        <f>ABS(Q29)</f>
        <v/>
      </c>
    </row>
    <row r="30">
      <c r="A30" s="5" t="inlineStr">
        <is>
          <t>Mid-market gross churn</t>
        </is>
      </c>
      <c r="B30" s="24" t="n">
        <v>0.01</v>
      </c>
      <c r="C30" s="58" t="n">
        <v>68694.8526640677</v>
      </c>
      <c r="D30" s="58" t="n">
        <v>67951.06251808176</v>
      </c>
      <c r="E30" s="36">
        <f>(D30-C30)/2</f>
        <v/>
      </c>
      <c r="F30" s="59" t="n">
        <v>1.031233849912361</v>
      </c>
      <c r="G30" s="59" t="n">
        <v>1.024153059364556</v>
      </c>
      <c r="H30" s="35">
        <f>(G30-F30)/2</f>
        <v/>
      </c>
      <c r="I30" s="61" t="n">
        <v>18.81583969012991</v>
      </c>
      <c r="J30" s="61" t="n">
        <v>18.8414270215623</v>
      </c>
      <c r="K30" s="62">
        <f>(J30-I30)/2</f>
        <v/>
      </c>
      <c r="L30" s="58" t="n">
        <v>22944.13063245632</v>
      </c>
      <c r="M30" s="58" t="n">
        <v>22216.31040997335</v>
      </c>
      <c r="N30" s="36">
        <f>(M30-L30)/2</f>
        <v/>
      </c>
      <c r="O30" s="58" t="n">
        <v>-2937.305392308543</v>
      </c>
      <c r="P30" s="58" t="n">
        <v>-3320.01651035975</v>
      </c>
      <c r="Q30" s="36">
        <f>(P30-O30)/2</f>
        <v/>
      </c>
      <c r="S30" s="36">
        <f>ABS(E30)</f>
        <v/>
      </c>
      <c r="T30" s="35">
        <f>ABS(H30)</f>
        <v/>
      </c>
      <c r="U30" s="62">
        <f>ABS(K30)</f>
        <v/>
      </c>
      <c r="V30" s="36">
        <f>ABS(N30)</f>
        <v/>
      </c>
      <c r="W30" s="36">
        <f>ABS(Q30)</f>
        <v/>
      </c>
    </row>
    <row r="31">
      <c r="A31" s="5" t="inlineStr">
        <is>
          <t>Enterprise expansion</t>
        </is>
      </c>
      <c r="B31" s="24" t="n">
        <v>0.01</v>
      </c>
      <c r="C31" s="58" t="n">
        <v>67651.37482105495</v>
      </c>
      <c r="D31" s="58" t="n">
        <v>68996.16990536325</v>
      </c>
      <c r="E31" s="36">
        <f>(D31-C31)/2</f>
        <v/>
      </c>
      <c r="F31" s="59" t="n">
        <v>1.021388473139292</v>
      </c>
      <c r="G31" s="59" t="n">
        <v>1.033991917790083</v>
      </c>
      <c r="H31" s="35">
        <f>(G31-F31)/2</f>
        <v/>
      </c>
      <c r="I31" s="61" t="n">
        <v>19.1837448127479</v>
      </c>
      <c r="J31" s="61" t="n">
        <v>18.48502933859361</v>
      </c>
      <c r="K31" s="62">
        <f>(J31-I31)/2</f>
        <v/>
      </c>
      <c r="L31" s="58" t="n">
        <v>21835.37378893118</v>
      </c>
      <c r="M31" s="58" t="n">
        <v>23320.13565545751</v>
      </c>
      <c r="N31" s="36">
        <f>(M31-L31)/2</f>
        <v/>
      </c>
      <c r="O31" s="58" t="n">
        <v>-3573.607347748403</v>
      </c>
      <c r="P31" s="58" t="n">
        <v>-2682.288726295741</v>
      </c>
      <c r="Q31" s="36">
        <f>(P31-O31)/2</f>
        <v/>
      </c>
      <c r="S31" s="36">
        <f>ABS(E31)</f>
        <v/>
      </c>
      <c r="T31" s="35">
        <f>ABS(H31)</f>
        <v/>
      </c>
      <c r="U31" s="62">
        <f>ABS(K31)</f>
        <v/>
      </c>
      <c r="V31" s="36">
        <f>ABS(N31)</f>
        <v/>
      </c>
      <c r="W31" s="36">
        <f>ABS(Q31)</f>
        <v/>
      </c>
    </row>
    <row r="32">
      <c r="A32" s="5" t="inlineStr">
        <is>
          <t>Mid-market expansion</t>
        </is>
      </c>
      <c r="B32" s="24" t="n">
        <v>0.01</v>
      </c>
      <c r="C32" s="58" t="n">
        <v>68011.58056150352</v>
      </c>
      <c r="D32" s="58" t="n">
        <v>68633.34309414717</v>
      </c>
      <c r="E32" s="36">
        <f>(D32-C32)/2</f>
        <v/>
      </c>
      <c r="F32" s="59" t="n">
        <v>1.024731155479072</v>
      </c>
      <c r="G32" s="59" t="n">
        <v>1.030650280583462</v>
      </c>
      <c r="H32" s="35">
        <f>(G32-F32)/2</f>
        <v/>
      </c>
      <c r="I32" s="61" t="n">
        <v>19.00460343961742</v>
      </c>
      <c r="J32" s="61" t="n">
        <v>18.65497028569383</v>
      </c>
      <c r="K32" s="62">
        <f>(J32-I32)/2</f>
        <v/>
      </c>
      <c r="L32" s="58" t="n">
        <v>22204.17929502159</v>
      </c>
      <c r="M32" s="58" t="n">
        <v>22956.1234338111</v>
      </c>
      <c r="N32" s="36">
        <f>(M32-L32)/2</f>
        <v/>
      </c>
      <c r="O32" s="58" t="n">
        <v>-3351.158866259436</v>
      </c>
      <c r="P32" s="58" t="n">
        <v>-2905.989742139801</v>
      </c>
      <c r="Q32" s="36">
        <f>(P32-O32)/2</f>
        <v/>
      </c>
      <c r="S32" s="36">
        <f>ABS(E32)</f>
        <v/>
      </c>
      <c r="T32" s="35">
        <f>ABS(H32)</f>
        <v/>
      </c>
      <c r="U32" s="62">
        <f>ABS(K32)</f>
        <v/>
      </c>
      <c r="V32" s="36">
        <f>ABS(N32)</f>
        <v/>
      </c>
      <c r="W32" s="36">
        <f>ABS(Q32)</f>
        <v/>
      </c>
    </row>
    <row r="33">
      <c r="A33" s="5" t="inlineStr">
        <is>
          <t>Enterprise new logos / month</t>
        </is>
      </c>
      <c r="B33" s="23" t="n">
        <v>0.5</v>
      </c>
      <c r="C33" s="58" t="n">
        <v>65455.74720344683</v>
      </c>
      <c r="D33" s="58" t="n">
        <v>71186.73091832823</v>
      </c>
      <c r="E33" s="36">
        <f>(D33-C33)/2</f>
        <v/>
      </c>
      <c r="F33" s="59" t="n">
        <v>1.026643218399922</v>
      </c>
      <c r="G33" s="59" t="n">
        <v>1.028677801803631</v>
      </c>
      <c r="H33" s="35">
        <f>(G33-F33)/2</f>
        <v/>
      </c>
      <c r="I33" s="61" t="n">
        <v>20.3880829945806</v>
      </c>
      <c r="J33" s="61" t="n">
        <v>17.50411104415648</v>
      </c>
      <c r="K33" s="62">
        <f>(J33-I33)/2</f>
        <v/>
      </c>
      <c r="L33" s="58" t="n">
        <v>19251.9676347644</v>
      </c>
      <c r="M33" s="58" t="n">
        <v>25790.7132358074</v>
      </c>
      <c r="N33" s="36">
        <f>(M33-L33)/2</f>
        <v/>
      </c>
      <c r="O33" s="58" t="n">
        <v>-5044.372139857007</v>
      </c>
      <c r="P33" s="58" t="n">
        <v>-1214.241095420407</v>
      </c>
      <c r="Q33" s="36">
        <f>(P33-O33)/2</f>
        <v/>
      </c>
      <c r="S33" s="36">
        <f>ABS(E33)</f>
        <v/>
      </c>
      <c r="T33" s="35">
        <f>ABS(H33)</f>
        <v/>
      </c>
      <c r="U33" s="62">
        <f>ABS(K33)</f>
        <v/>
      </c>
      <c r="V33" s="36">
        <f>ABS(N33)</f>
        <v/>
      </c>
      <c r="W33" s="36">
        <f>ABS(Q33)</f>
        <v/>
      </c>
    </row>
    <row r="34">
      <c r="A34" s="5" t="inlineStr">
        <is>
          <t>Mid-market new logos / month</t>
        </is>
      </c>
      <c r="B34" s="23" t="n">
        <v>2</v>
      </c>
      <c r="C34" s="58" t="n">
        <v>67063.94678394499</v>
      </c>
      <c r="D34" s="58" t="n">
        <v>69578.53133782999</v>
      </c>
      <c r="E34" s="36">
        <f>(D34-C34)/2</f>
        <v/>
      </c>
      <c r="F34" s="59" t="n">
        <v>1.028663521464369</v>
      </c>
      <c r="G34" s="59" t="n">
        <v>1.026725801533607</v>
      </c>
      <c r="H34" s="35">
        <f>(G34-F34)/2</f>
        <v/>
      </c>
      <c r="I34" s="61" t="n">
        <v>19.5319124589054</v>
      </c>
      <c r="J34" s="61" t="n">
        <v>18.17705334109791</v>
      </c>
      <c r="K34" s="62">
        <f>(J34-I34)/2</f>
        <v/>
      </c>
      <c r="L34" s="58" t="n">
        <v>21116.63951297773</v>
      </c>
      <c r="M34" s="58" t="n">
        <v>24019.39323054819</v>
      </c>
      <c r="N34" s="36">
        <f>(M34-L34)/2</f>
        <v/>
      </c>
      <c r="O34" s="58" t="n">
        <v>-3954.597365689179</v>
      </c>
      <c r="P34" s="58" t="n">
        <v>-2304.015869588236</v>
      </c>
      <c r="Q34" s="36">
        <f>(P34-O34)/2</f>
        <v/>
      </c>
      <c r="S34" s="36">
        <f>ABS(E34)</f>
        <v/>
      </c>
      <c r="T34" s="35">
        <f>ABS(H34)</f>
        <v/>
      </c>
      <c r="U34" s="62">
        <f>ABS(K34)</f>
        <v/>
      </c>
      <c r="V34" s="36">
        <f>ABS(N34)</f>
        <v/>
      </c>
      <c r="W34" s="36">
        <f>ABS(Q34)</f>
        <v/>
      </c>
    </row>
    <row r="35">
      <c r="A35" s="5" t="inlineStr">
        <is>
          <t>Enterprise ACV (GBP k)</t>
        </is>
      </c>
      <c r="B35" s="23" t="n">
        <v>10</v>
      </c>
      <c r="C35" s="58" t="n">
        <v>67502.52710161878</v>
      </c>
      <c r="D35" s="58" t="n">
        <v>69139.95102015631</v>
      </c>
      <c r="E35" s="36">
        <f>(D35-C35)/2</f>
        <v/>
      </c>
      <c r="F35" s="59" t="n">
        <v>1.027391271471285</v>
      </c>
      <c r="G35" s="59" t="n">
        <v>1.027972304153055</v>
      </c>
      <c r="H35" s="35">
        <f>(G35-F35)/2</f>
        <v/>
      </c>
      <c r="I35" s="61" t="n">
        <v>19.26082916907997</v>
      </c>
      <c r="J35" s="61" t="n">
        <v>18.41624927833859</v>
      </c>
      <c r="K35" s="62">
        <f>(J35-I35)/2</f>
        <v/>
      </c>
      <c r="L35" s="58" t="n">
        <v>21572.45631707625</v>
      </c>
      <c r="M35" s="58" t="n">
        <v>23575.42102924871</v>
      </c>
      <c r="N35" s="36">
        <f>(M35-L35)/2</f>
        <v/>
      </c>
      <c r="O35" s="58" t="n">
        <v>-3720.489930283845</v>
      </c>
      <c r="P35" s="58" t="n">
        <v>-2538.123304993561</v>
      </c>
      <c r="Q35" s="36">
        <f>(P35-O35)/2</f>
        <v/>
      </c>
      <c r="S35" s="36">
        <f>ABS(E35)</f>
        <v/>
      </c>
      <c r="T35" s="35">
        <f>ABS(H35)</f>
        <v/>
      </c>
      <c r="U35" s="62">
        <f>ABS(K35)</f>
        <v/>
      </c>
      <c r="V35" s="36">
        <f>ABS(N35)</f>
        <v/>
      </c>
      <c r="W35" s="36">
        <f>ABS(Q35)</f>
        <v/>
      </c>
    </row>
    <row r="36">
      <c r="A36" s="5" t="inlineStr">
        <is>
          <t>Mid-market ACV (GBP k)</t>
        </is>
      </c>
      <c r="B36" s="23" t="n">
        <v>2</v>
      </c>
      <c r="C36" s="58" t="n">
        <v>67644.23552714921</v>
      </c>
      <c r="D36" s="58" t="n">
        <v>68998.24259462576</v>
      </c>
      <c r="E36" s="36">
        <f>(D36-C36)/2</f>
        <v/>
      </c>
      <c r="F36" s="59" t="n">
        <v>1.028208508652817</v>
      </c>
      <c r="G36" s="59" t="n">
        <v>1.02716521615741</v>
      </c>
      <c r="H36" s="35">
        <f>(G36-F36)/2</f>
        <v/>
      </c>
      <c r="I36" s="61" t="n">
        <v>19.22111683742501</v>
      </c>
      <c r="J36" s="61" t="n">
        <v>18.45219347942189</v>
      </c>
      <c r="K36" s="62">
        <f>(J36-I36)/2</f>
        <v/>
      </c>
      <c r="L36" s="58" t="n">
        <v>21704.54183655171</v>
      </c>
      <c r="M36" s="58" t="n">
        <v>23445.74603516648</v>
      </c>
      <c r="N36" s="36">
        <f>(M36-L36)/2</f>
        <v/>
      </c>
      <c r="O36" s="58" t="n">
        <v>-3641.490141232829</v>
      </c>
      <c r="P36" s="58" t="n">
        <v>-2617.123094044582</v>
      </c>
      <c r="Q36" s="36">
        <f>(P36-O36)/2</f>
        <v/>
      </c>
      <c r="S36" s="36">
        <f>ABS(E36)</f>
        <v/>
      </c>
      <c r="T36" s="35">
        <f>ABS(H36)</f>
        <v/>
      </c>
      <c r="U36" s="62">
        <f>ABS(K36)</f>
        <v/>
      </c>
      <c r="V36" s="36">
        <f>ABS(N36)</f>
        <v/>
      </c>
      <c r="W36" s="36">
        <f>ABS(Q36)</f>
        <v/>
      </c>
    </row>
    <row r="37">
      <c r="A37" s="5" t="inlineStr">
        <is>
          <t>Annual price uplift</t>
        </is>
      </c>
      <c r="B37" s="24" t="n">
        <v>0.01</v>
      </c>
      <c r="C37" s="58" t="n">
        <v>68191.75993956566</v>
      </c>
      <c r="D37" s="58" t="n">
        <v>68450.71818220934</v>
      </c>
      <c r="E37" s="36">
        <f>(D37-C37)/2</f>
        <v/>
      </c>
      <c r="F37" s="59" t="n">
        <v>1.027683678183687</v>
      </c>
      <c r="G37" s="59" t="n">
        <v>1.027683678183687</v>
      </c>
      <c r="H37" s="35">
        <f>(G37-F37)/2</f>
        <v/>
      </c>
      <c r="I37" s="61" t="n">
        <v>18.82861402310649</v>
      </c>
      <c r="J37" s="61" t="n">
        <v>18.82861402310649</v>
      </c>
      <c r="K37" s="62">
        <f>(J37-I37)/2</f>
        <v/>
      </c>
      <c r="L37" s="58" t="n">
        <v>22478.21449241068</v>
      </c>
      <c r="M37" s="58" t="n">
        <v>22679.90784369019</v>
      </c>
      <c r="N37" s="36">
        <f>(M37-L37)/2</f>
        <v/>
      </c>
      <c r="O37" s="58" t="n">
        <v>-3198.735362794565</v>
      </c>
      <c r="P37" s="58" t="n">
        <v>-3059.877872482847</v>
      </c>
      <c r="Q37" s="36">
        <f>(P37-O37)/2</f>
        <v/>
      </c>
      <c r="S37" s="36">
        <f>ABS(E37)</f>
        <v/>
      </c>
      <c r="T37" s="35">
        <f>ABS(H37)</f>
        <v/>
      </c>
      <c r="U37" s="62">
        <f>ABS(K37)</f>
        <v/>
      </c>
      <c r="V37" s="36">
        <f>ABS(N37)</f>
        <v/>
      </c>
      <c r="W37" s="36">
        <f>ABS(Q37)</f>
        <v/>
      </c>
    </row>
    <row r="38">
      <c r="A38" s="5" t="inlineStr">
        <is>
          <t>S&amp;M net hires / month</t>
        </is>
      </c>
      <c r="B38" s="23" t="n">
        <v>0.5</v>
      </c>
      <c r="C38" s="58" t="n">
        <v>68321.2390608875</v>
      </c>
      <c r="D38" s="58" t="n">
        <v>68321.2390608875</v>
      </c>
      <c r="E38" s="36">
        <f>(D38-C38)/2</f>
        <v/>
      </c>
      <c r="F38" s="59" t="n">
        <v>1.027683678183687</v>
      </c>
      <c r="G38" s="59" t="n">
        <v>1.027683678183687</v>
      </c>
      <c r="H38" s="35">
        <f>(G38-F38)/2</f>
        <v/>
      </c>
      <c r="I38" s="61" t="n">
        <v>18.39676266614225</v>
      </c>
      <c r="J38" s="61" t="n">
        <v>19.26046538007072</v>
      </c>
      <c r="K38" s="62">
        <f>(J38-I38)/2</f>
        <v/>
      </c>
      <c r="L38" s="58" t="n">
        <v>23665.39637343151</v>
      </c>
      <c r="M38" s="58" t="n">
        <v>21471.45765895469</v>
      </c>
      <c r="N38" s="36">
        <f>(M38-L38)/2</f>
        <v/>
      </c>
      <c r="O38" s="58" t="n">
        <v>-2309.586617638713</v>
      </c>
      <c r="P38" s="58" t="n">
        <v>-3949.026617638709</v>
      </c>
      <c r="Q38" s="36">
        <f>(P38-O38)/2</f>
        <v/>
      </c>
      <c r="S38" s="36">
        <f>ABS(E38)</f>
        <v/>
      </c>
      <c r="T38" s="35">
        <f>ABS(H38)</f>
        <v/>
      </c>
      <c r="U38" s="62">
        <f>ABS(K38)</f>
        <v/>
      </c>
      <c r="V38" s="36">
        <f>ABS(N38)</f>
        <v/>
      </c>
      <c r="W38" s="36">
        <f>ABS(Q38)</f>
        <v/>
      </c>
    </row>
    <row r="39">
      <c r="A39" s="5" t="inlineStr">
        <is>
          <t>R&amp;D net hires / month</t>
        </is>
      </c>
      <c r="B39" s="23" t="n">
        <v>0.5</v>
      </c>
      <c r="C39" s="58" t="n">
        <v>68321.2390608875</v>
      </c>
      <c r="D39" s="58" t="n">
        <v>68321.2390608875</v>
      </c>
      <c r="E39" s="36">
        <f>(D39-C39)/2</f>
        <v/>
      </c>
      <c r="F39" s="59" t="n">
        <v>1.027683678183687</v>
      </c>
      <c r="G39" s="59" t="n">
        <v>1.027683678183687</v>
      </c>
      <c r="H39" s="35">
        <f>(G39-F39)/2</f>
        <v/>
      </c>
      <c r="I39" s="61" t="n">
        <v>18.82861402310649</v>
      </c>
      <c r="J39" s="61" t="n">
        <v>18.82861402310649</v>
      </c>
      <c r="K39" s="62">
        <f>(J39-I39)/2</f>
        <v/>
      </c>
      <c r="L39" s="58" t="n">
        <v>23689.5440141023</v>
      </c>
      <c r="M39" s="58" t="n">
        <v>21446.28485192979</v>
      </c>
      <c r="N39" s="36">
        <f>(M39-L39)/2</f>
        <v/>
      </c>
      <c r="O39" s="58" t="n">
        <v>-2290.956617638708</v>
      </c>
      <c r="P39" s="58" t="n">
        <v>-3967.656617638709</v>
      </c>
      <c r="Q39" s="36">
        <f>(P39-O39)/2</f>
        <v/>
      </c>
      <c r="S39" s="36">
        <f>ABS(E39)</f>
        <v/>
      </c>
      <c r="T39" s="35">
        <f>ABS(H39)</f>
        <v/>
      </c>
      <c r="U39" s="62">
        <f>ABS(K39)</f>
        <v/>
      </c>
      <c r="V39" s="36">
        <f>ABS(N39)</f>
        <v/>
      </c>
      <c r="W39" s="36">
        <f>ABS(Q39)</f>
        <v/>
      </c>
    </row>
    <row r="40">
      <c r="A40" s="5" t="inlineStr">
        <is>
          <t>Customer payment terms (days)</t>
        </is>
      </c>
      <c r="B40" s="22" t="n">
        <v>5</v>
      </c>
      <c r="C40" s="58" t="n">
        <v>68321.2390608875</v>
      </c>
      <c r="D40" s="58" t="n">
        <v>68321.2390608875</v>
      </c>
      <c r="E40" s="36">
        <f>(D40-C40)/2</f>
        <v/>
      </c>
      <c r="F40" s="59" t="n">
        <v>1.027683678183687</v>
      </c>
      <c r="G40" s="59" t="n">
        <v>1.027683678183687</v>
      </c>
      <c r="H40" s="35">
        <f>(G40-F40)/2</f>
        <v/>
      </c>
      <c r="I40" s="61" t="n">
        <v>18.82861402310649</v>
      </c>
      <c r="J40" s="61" t="n">
        <v>18.82861402310649</v>
      </c>
      <c r="K40" s="62">
        <f>(J40-I40)/2</f>
        <v/>
      </c>
      <c r="L40" s="58" t="n">
        <v>23616.47385421112</v>
      </c>
      <c r="M40" s="58" t="n">
        <v>21541.64848188975</v>
      </c>
      <c r="N40" s="36">
        <f>(M40-L40)/2</f>
        <v/>
      </c>
      <c r="O40" s="58" t="n">
        <v>-3129.306617638708</v>
      </c>
      <c r="P40" s="58" t="n">
        <v>-3129.306617638708</v>
      </c>
      <c r="Q40" s="36">
        <f>(P40-O40)/2</f>
        <v/>
      </c>
      <c r="S40" s="36">
        <f>ABS(E40)</f>
        <v/>
      </c>
      <c r="T40" s="35">
        <f>ABS(H40)</f>
        <v/>
      </c>
      <c r="U40" s="62">
        <f>ABS(K40)</f>
        <v/>
      </c>
      <c r="V40" s="36">
        <f>ABS(N40)</f>
        <v/>
      </c>
      <c r="W40" s="36">
        <f>ABS(Q40)</f>
        <v/>
      </c>
    </row>
    <row r="41">
      <c r="A41" s="2" t="inlineStr">
        <is>
          <t>Step sizes (blue) are labels for the snapshot run; changing them here does not rerun it.</t>
        </is>
      </c>
    </row>
    <row r="44">
      <c r="A44" s="13" t="inlineStr">
        <is>
          <t>C. Top three levers per metric (ranked by absolute impact per step; live formulas on the matrix above)</t>
        </is>
      </c>
      <c r="B44" s="14" t="n"/>
      <c r="C44" s="14" t="n"/>
      <c r="D44" s="14" t="n"/>
      <c r="E44" s="14" t="n"/>
      <c r="F44" s="14" t="n"/>
      <c r="G44" s="14" t="n"/>
      <c r="H44" s="14" t="n"/>
    </row>
    <row r="45">
      <c r="A45" s="11" t="inlineStr">
        <is>
          <t>Metric</t>
        </is>
      </c>
      <c r="B45" s="12" t="inlineStr">
        <is>
          <t>Rank 1</t>
        </is>
      </c>
      <c r="C45" s="12" t="inlineStr">
        <is>
          <t>Rank 2</t>
        </is>
      </c>
      <c r="D45" s="12" t="inlineStr">
        <is>
          <t>Rank 3</t>
        </is>
      </c>
    </row>
    <row r="46">
      <c r="A46" s="5" t="inlineStr">
        <is>
          <t>ARR, month 24</t>
        </is>
      </c>
      <c r="B46" s="56">
        <f>INDEX($A$29:$A$40,MATCH(LARGE(S$29:S$40,1),S$29:S$40,0),1)</f>
        <v/>
      </c>
      <c r="C46" s="56">
        <f>INDEX($A$29:$A$40,MATCH(LARGE(S$29:S$40,2),S$29:S$40,0),1)</f>
        <v/>
      </c>
      <c r="D46" s="56">
        <f>INDEX($A$29:$A$40,MATCH(LARGE(S$29:S$40,3),S$29:S$40,0),1)</f>
        <v/>
      </c>
    </row>
    <row r="47">
      <c r="A47" s="5" t="inlineStr">
        <is>
          <t>NRR (annualised), month 12</t>
        </is>
      </c>
      <c r="B47" s="56">
        <f>INDEX($A$29:$A$40,MATCH(LARGE(T$29:T$40,1),T$29:T$40,0),1)</f>
        <v/>
      </c>
      <c r="C47" s="56">
        <f>INDEX($A$29:$A$40,MATCH(LARGE(T$29:T$40,2),T$29:T$40,0),1)</f>
        <v/>
      </c>
      <c r="D47" s="56">
        <f>INDEX($A$29:$A$40,MATCH(LARGE(T$29:T$40,3),T$29:T$40,0),1)</f>
        <v/>
      </c>
    </row>
    <row r="48">
      <c r="A48" s="5" t="inlineStr">
        <is>
          <t>CAC payback (months), month 12</t>
        </is>
      </c>
      <c r="B48" s="56">
        <f>INDEX($A$29:$A$40,MATCH(LARGE(U$29:U$40,1),U$29:U$40,0),1)</f>
        <v/>
      </c>
      <c r="C48" s="56">
        <f>INDEX($A$29:$A$40,MATCH(LARGE(U$29:U$40,2),U$29:U$40,0),1)</f>
        <v/>
      </c>
      <c r="D48" s="56">
        <f>INDEX($A$29:$A$40,MATCH(LARGE(U$29:U$40,3),U$29:U$40,0),1)</f>
        <v/>
      </c>
    </row>
    <row r="49">
      <c r="A49" s="5" t="inlineStr">
        <is>
          <t>Cash, month 24</t>
        </is>
      </c>
      <c r="B49" s="56">
        <f>INDEX($A$29:$A$40,MATCH(LARGE(V$29:V$40,1),V$29:V$40,0),1)</f>
        <v/>
      </c>
      <c r="C49" s="56">
        <f>INDEX($A$29:$A$40,MATCH(LARGE(V$29:V$40,2),V$29:V$40,0),1)</f>
        <v/>
      </c>
      <c r="D49" s="56">
        <f>INDEX($A$29:$A$40,MATCH(LARGE(V$29:V$40,3),V$29:V$40,0),1)</f>
        <v/>
      </c>
    </row>
    <row r="50">
      <c r="A50" s="5" t="inlineStr">
        <is>
          <t>FY2 EBITDA</t>
        </is>
      </c>
      <c r="B50" s="56">
        <f>INDEX($A$29:$A$40,MATCH(LARGE(W$29:W$40,1),W$29:W$40,0),1)</f>
        <v/>
      </c>
      <c r="C50" s="56">
        <f>INDEX($A$29:$A$40,MATCH(LARGE(W$29:W$40,2),W$29:W$40,0),1)</f>
        <v/>
      </c>
      <c r="D50" s="56">
        <f>INDEX($A$29:$A$40,MATCH(LARGE(W$29:W$40,3),W$29:W$40,0),1)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Sensitivity - two-way grids (static, engine-run)</t>
        </is>
      </c>
    </row>
    <row r="2">
      <c r="A2" s="2" t="inlineStr">
        <is>
          <t>Sheets and Excel can't re-run the whole model per cell without data tables, so grid values below were produced by recalculating the full workbook (validation/snapshots.py) and pasted as grey values. A staleness check on the Checks tab flags them if the model changes.</t>
        </is>
      </c>
    </row>
    <row r="4">
      <c r="A4" s="3" t="inlineStr">
        <is>
          <t>Lowest month-end cash over the 24 months (live)</t>
        </is>
      </c>
      <c r="B4" s="42">
        <f>MIN(BS!$O$9:$AL$9)</f>
        <v/>
      </c>
    </row>
    <row r="6">
      <c r="A6" s="13" t="inlineStr">
        <is>
          <t>Grid 1: lowest month-end cash (GBP k) - churn shift (rows, pts added to both segments) x new-logo volume (columns)</t>
        </is>
      </c>
      <c r="B6" s="14" t="n"/>
      <c r="C6" s="14" t="n"/>
      <c r="D6" s="14" t="n"/>
      <c r="E6" s="14" t="n"/>
      <c r="F6" s="14" t="n"/>
      <c r="G6" s="14" t="n"/>
    </row>
    <row r="7">
      <c r="A7" s="11" t="inlineStr">
        <is>
          <t>Churn shift  \  new-logo volume</t>
        </is>
      </c>
      <c r="B7" s="65" t="n">
        <v>0.8</v>
      </c>
      <c r="C7" s="65" t="n">
        <v>0.9</v>
      </c>
      <c r="D7" s="65" t="n">
        <v>1</v>
      </c>
      <c r="E7" s="65" t="n">
        <v>1.1</v>
      </c>
      <c r="F7" s="65" t="n">
        <v>1.2</v>
      </c>
      <c r="G7" s="12" t="inlineStr"/>
    </row>
    <row r="8">
      <c r="A8" s="66" t="n">
        <v>-0.04</v>
      </c>
      <c r="B8" s="58" t="n"/>
      <c r="C8" s="58" t="n"/>
      <c r="D8" s="58" t="n"/>
      <c r="E8" s="58" t="n"/>
      <c r="F8" s="58" t="n"/>
    </row>
    <row r="9">
      <c r="A9" s="66" t="n">
        <v>-0.02</v>
      </c>
      <c r="B9" s="58" t="n"/>
      <c r="C9" s="58" t="n"/>
      <c r="D9" s="58" t="n"/>
      <c r="E9" s="58" t="n"/>
      <c r="F9" s="58" t="n"/>
    </row>
    <row r="10">
      <c r="A10" s="66" t="n">
        <v>0</v>
      </c>
      <c r="B10" s="58" t="n"/>
      <c r="C10" s="58" t="n"/>
      <c r="D10" s="67" t="n"/>
      <c r="E10" s="58" t="n"/>
      <c r="F10" s="58" t="n"/>
    </row>
    <row r="11">
      <c r="A11" s="66" t="n">
        <v>0.02</v>
      </c>
      <c r="B11" s="58" t="n"/>
      <c r="C11" s="58" t="n"/>
      <c r="D11" s="58" t="n"/>
      <c r="E11" s="58" t="n"/>
      <c r="F11" s="58" t="n"/>
    </row>
    <row r="12">
      <c r="A12" s="66" t="n">
        <v>0.04</v>
      </c>
      <c r="B12" s="58" t="n"/>
      <c r="C12" s="58" t="n"/>
      <c r="D12" s="58" t="n"/>
      <c r="E12" s="58" t="n"/>
      <c r="F12" s="58" t="n"/>
    </row>
    <row r="13">
      <c r="A13" s="2" t="inlineStr">
        <is>
          <t>Highlighted cell = Base case. Grey italic = pasted engine output.</t>
        </is>
      </c>
    </row>
    <row r="15">
      <c r="A15" s="13" t="inlineStr">
        <is>
          <t>Grid 2: enterprise value (GBP m) - ARR multiple (rows) x new-logo volume (columns), on month-24 ARR</t>
        </is>
      </c>
      <c r="B15" s="14" t="n"/>
      <c r="C15" s="14" t="n"/>
      <c r="D15" s="14" t="n"/>
      <c r="E15" s="14" t="n"/>
      <c r="F15" s="14" t="n"/>
      <c r="G15" s="14" t="n"/>
    </row>
    <row r="16">
      <c r="A16" s="11" t="inlineStr">
        <is>
          <t>ARR multiple  \  new-logo volume</t>
        </is>
      </c>
      <c r="B16" s="65" t="n">
        <v>0.8</v>
      </c>
      <c r="C16" s="65" t="n">
        <v>0.9</v>
      </c>
      <c r="D16" s="65" t="n">
        <v>1</v>
      </c>
      <c r="E16" s="65" t="n">
        <v>1.1</v>
      </c>
      <c r="F16" s="65" t="n">
        <v>1.2</v>
      </c>
      <c r="G16" s="12" t="inlineStr"/>
    </row>
    <row r="17">
      <c r="A17" s="2" t="inlineStr">
        <is>
          <t>Month-24 ARR at that volume (GBP k, engine-run)</t>
        </is>
      </c>
      <c r="B17" s="58" t="n"/>
      <c r="C17" s="58" t="n"/>
      <c r="D17" s="58" t="n"/>
      <c r="E17" s="58" t="n"/>
      <c r="F17" s="58" t="n"/>
    </row>
    <row r="18">
      <c r="A18" s="68" t="n">
        <v>4</v>
      </c>
      <c r="B18" s="34">
        <f>$A18*B$17/1000</f>
        <v/>
      </c>
      <c r="C18" s="34">
        <f>$A18*C$17/1000</f>
        <v/>
      </c>
      <c r="D18" s="34">
        <f>$A18*D$17/1000</f>
        <v/>
      </c>
      <c r="E18" s="34">
        <f>$A18*E$17/1000</f>
        <v/>
      </c>
      <c r="F18" s="34">
        <f>$A18*F$17/1000</f>
        <v/>
      </c>
    </row>
    <row r="19">
      <c r="A19" s="68" t="n">
        <v>5</v>
      </c>
      <c r="B19" s="34">
        <f>$A19*B$17/1000</f>
        <v/>
      </c>
      <c r="C19" s="34">
        <f>$A19*C$17/1000</f>
        <v/>
      </c>
      <c r="D19" s="34">
        <f>$A19*D$17/1000</f>
        <v/>
      </c>
      <c r="E19" s="34">
        <f>$A19*E$17/1000</f>
        <v/>
      </c>
      <c r="F19" s="34">
        <f>$A19*F$17/1000</f>
        <v/>
      </c>
    </row>
    <row r="20">
      <c r="A20" s="68" t="n">
        <v>6</v>
      </c>
      <c r="B20" s="34">
        <f>$A20*B$17/1000</f>
        <v/>
      </c>
      <c r="C20" s="34">
        <f>$A20*C$17/1000</f>
        <v/>
      </c>
      <c r="D20" s="69">
        <f>$A20*D$17/1000</f>
        <v/>
      </c>
      <c r="E20" s="34">
        <f>$A20*E$17/1000</f>
        <v/>
      </c>
      <c r="F20" s="34">
        <f>$A20*F$17/1000</f>
        <v/>
      </c>
    </row>
    <row r="21">
      <c r="A21" s="68" t="n">
        <v>7</v>
      </c>
      <c r="B21" s="34">
        <f>$A21*B$17/1000</f>
        <v/>
      </c>
      <c r="C21" s="34">
        <f>$A21*C$17/1000</f>
        <v/>
      </c>
      <c r="D21" s="34">
        <f>$A21*D$17/1000</f>
        <v/>
      </c>
      <c r="E21" s="34">
        <f>$A21*E$17/1000</f>
        <v/>
      </c>
      <c r="F21" s="34">
        <f>$A21*F$17/1000</f>
        <v/>
      </c>
    </row>
    <row r="22">
      <c r="A22" s="68" t="n">
        <v>8</v>
      </c>
      <c r="B22" s="34">
        <f>$A22*B$17/1000</f>
        <v/>
      </c>
      <c r="C22" s="34">
        <f>$A22*C$17/1000</f>
        <v/>
      </c>
      <c r="D22" s="34">
        <f>$A22*D$17/1000</f>
        <v/>
      </c>
      <c r="E22" s="34">
        <f>$A22*E$17/1000</f>
        <v/>
      </c>
      <c r="F22" s="34">
        <f>$A22*F$17/1000</f>
        <v/>
      </c>
    </row>
    <row r="24">
      <c r="A24" s="2" t="inlineStr">
        <is>
          <t>EV = multiple (blue, editable) x snapshot ARR. Multiples are illustrative, synthetic.</t>
        </is>
      </c>
    </row>
    <row r="27">
      <c r="A27" s="13" t="inlineStr">
        <is>
          <t>Grid 3 (live formulas): deal value created (GBP k) - offer multiple (rows) x synergies achieved (columns)</t>
        </is>
      </c>
      <c r="B27" s="14" t="n"/>
      <c r="C27" s="14" t="n"/>
      <c r="D27" s="14" t="n"/>
      <c r="E27" s="14" t="n"/>
      <c r="F27" s="14" t="n"/>
      <c r="G27" s="14" t="n"/>
    </row>
    <row r="28">
      <c r="A28" s="11" t="inlineStr">
        <is>
          <t>Offer EV / ARR  \  synergies achieved</t>
        </is>
      </c>
      <c r="B28" s="65" t="n">
        <v>0</v>
      </c>
      <c r="C28" s="65" t="n">
        <v>0.4</v>
      </c>
      <c r="D28" s="65" t="n">
        <v>0.7</v>
      </c>
      <c r="E28" s="65" t="n">
        <v>1</v>
      </c>
      <c r="F28" s="65" t="n">
        <v>1.3</v>
      </c>
      <c r="G28" s="12" t="inlineStr">
        <is>
          <t>Break-even synergies</t>
        </is>
      </c>
    </row>
    <row r="29">
      <c r="A29" s="68" t="n">
        <v>3.5</v>
      </c>
      <c r="B29" s="36">
        <f>MA_Returns!$C$19+B$28*MA_Returns!$C$20-MA_Returns!$C$22-$A29*MA_PPA!$C$6*(1+inp_ma_deal_cost_pct)</f>
        <v/>
      </c>
      <c r="C29" s="36">
        <f>MA_Returns!$C$19+C$28*MA_Returns!$C$20-MA_Returns!$C$22-$A29*MA_PPA!$C$6*(1+inp_ma_deal_cost_pct)</f>
        <v/>
      </c>
      <c r="D29" s="36">
        <f>MA_Returns!$C$19+D$28*MA_Returns!$C$20-MA_Returns!$C$22-$A29*MA_PPA!$C$6*(1+inp_ma_deal_cost_pct)</f>
        <v/>
      </c>
      <c r="E29" s="36">
        <f>MA_Returns!$C$19+E$28*MA_Returns!$C$20-MA_Returns!$C$22-$A29*MA_PPA!$C$6*(1+inp_ma_deal_cost_pct)</f>
        <v/>
      </c>
      <c r="F29" s="36">
        <f>MA_Returns!$C$19+F$28*MA_Returns!$C$20-MA_Returns!$C$22-$A29*MA_PPA!$C$6*(1+inp_ma_deal_cost_pct)</f>
        <v/>
      </c>
      <c r="G29" s="35">
        <f>($A29*MA_PPA!$C$6*(1+inp_ma_deal_cost_pct)+MA_Returns!$C$22-MA_Returns!$C$19)/MA_Returns!$C$20</f>
        <v/>
      </c>
    </row>
    <row r="30">
      <c r="A30" s="68" t="n">
        <v>4</v>
      </c>
      <c r="B30" s="36">
        <f>MA_Returns!$C$19+B$28*MA_Returns!$C$20-MA_Returns!$C$22-$A30*MA_PPA!$C$6*(1+inp_ma_deal_cost_pct)</f>
        <v/>
      </c>
      <c r="C30" s="36">
        <f>MA_Returns!$C$19+C$28*MA_Returns!$C$20-MA_Returns!$C$22-$A30*MA_PPA!$C$6*(1+inp_ma_deal_cost_pct)</f>
        <v/>
      </c>
      <c r="D30" s="36">
        <f>MA_Returns!$C$19+D$28*MA_Returns!$C$20-MA_Returns!$C$22-$A30*MA_PPA!$C$6*(1+inp_ma_deal_cost_pct)</f>
        <v/>
      </c>
      <c r="E30" s="36">
        <f>MA_Returns!$C$19+E$28*MA_Returns!$C$20-MA_Returns!$C$22-$A30*MA_PPA!$C$6*(1+inp_ma_deal_cost_pct)</f>
        <v/>
      </c>
      <c r="F30" s="36">
        <f>MA_Returns!$C$19+F$28*MA_Returns!$C$20-MA_Returns!$C$22-$A30*MA_PPA!$C$6*(1+inp_ma_deal_cost_pct)</f>
        <v/>
      </c>
      <c r="G30" s="35">
        <f>($A30*MA_PPA!$C$6*(1+inp_ma_deal_cost_pct)+MA_Returns!$C$22-MA_Returns!$C$19)/MA_Returns!$C$20</f>
        <v/>
      </c>
    </row>
    <row r="31">
      <c r="A31" s="68" t="n">
        <v>4.5</v>
      </c>
      <c r="B31" s="36">
        <f>MA_Returns!$C$19+B$28*MA_Returns!$C$20-MA_Returns!$C$22-$A31*MA_PPA!$C$6*(1+inp_ma_deal_cost_pct)</f>
        <v/>
      </c>
      <c r="C31" s="36">
        <f>MA_Returns!$C$19+C$28*MA_Returns!$C$20-MA_Returns!$C$22-$A31*MA_PPA!$C$6*(1+inp_ma_deal_cost_pct)</f>
        <v/>
      </c>
      <c r="D31" s="36">
        <f>MA_Returns!$C$19+D$28*MA_Returns!$C$20-MA_Returns!$C$22-$A31*MA_PPA!$C$6*(1+inp_ma_deal_cost_pct)</f>
        <v/>
      </c>
      <c r="E31" s="36">
        <f>MA_Returns!$C$19+E$28*MA_Returns!$C$20-MA_Returns!$C$22-$A31*MA_PPA!$C$6*(1+inp_ma_deal_cost_pct)</f>
        <v/>
      </c>
      <c r="F31" s="36">
        <f>MA_Returns!$C$19+F$28*MA_Returns!$C$20-MA_Returns!$C$22-$A31*MA_PPA!$C$6*(1+inp_ma_deal_cost_pct)</f>
        <v/>
      </c>
      <c r="G31" s="35">
        <f>($A31*MA_PPA!$C$6*(1+inp_ma_deal_cost_pct)+MA_Returns!$C$22-MA_Returns!$C$19)/MA_Returns!$C$20</f>
        <v/>
      </c>
    </row>
    <row r="32">
      <c r="A32" s="68" t="n">
        <v>5</v>
      </c>
      <c r="B32" s="36">
        <f>MA_Returns!$C$19+B$28*MA_Returns!$C$20-MA_Returns!$C$22-$A32*MA_PPA!$C$6*(1+inp_ma_deal_cost_pct)</f>
        <v/>
      </c>
      <c r="C32" s="36">
        <f>MA_Returns!$C$19+C$28*MA_Returns!$C$20-MA_Returns!$C$22-$A32*MA_PPA!$C$6*(1+inp_ma_deal_cost_pct)</f>
        <v/>
      </c>
      <c r="D32" s="36">
        <f>MA_Returns!$C$19+D$28*MA_Returns!$C$20-MA_Returns!$C$22-$A32*MA_PPA!$C$6*(1+inp_ma_deal_cost_pct)</f>
        <v/>
      </c>
      <c r="E32" s="36">
        <f>MA_Returns!$C$19+E$28*MA_Returns!$C$20-MA_Returns!$C$22-$A32*MA_PPA!$C$6*(1+inp_ma_deal_cost_pct)</f>
        <v/>
      </c>
      <c r="F32" s="36">
        <f>MA_Returns!$C$19+F$28*MA_Returns!$C$20-MA_Returns!$C$22-$A32*MA_PPA!$C$6*(1+inp_ma_deal_cost_pct)</f>
        <v/>
      </c>
      <c r="G32" s="35">
        <f>($A32*MA_PPA!$C$6*(1+inp_ma_deal_cost_pct)+MA_Returns!$C$22-MA_Returns!$C$19)/MA_Returns!$C$20</f>
        <v/>
      </c>
    </row>
    <row r="33">
      <c r="A33" s="68" t="n">
        <v>5.5</v>
      </c>
      <c r="B33" s="36">
        <f>MA_Returns!$C$19+B$28*MA_Returns!$C$20-MA_Returns!$C$22-$A33*MA_PPA!$C$6*(1+inp_ma_deal_cost_pct)</f>
        <v/>
      </c>
      <c r="C33" s="36">
        <f>MA_Returns!$C$19+C$28*MA_Returns!$C$20-MA_Returns!$C$22-$A33*MA_PPA!$C$6*(1+inp_ma_deal_cost_pct)</f>
        <v/>
      </c>
      <c r="D33" s="36">
        <f>MA_Returns!$C$19+D$28*MA_Returns!$C$20-MA_Returns!$C$22-$A33*MA_PPA!$C$6*(1+inp_ma_deal_cost_pct)</f>
        <v/>
      </c>
      <c r="E33" s="36">
        <f>MA_Returns!$C$19+E$28*MA_Returns!$C$20-MA_Returns!$C$22-$A33*MA_PPA!$C$6*(1+inp_ma_deal_cost_pct)</f>
        <v/>
      </c>
      <c r="F33" s="36">
        <f>MA_Returns!$C$19+F$28*MA_Returns!$C$20-MA_Returns!$C$22-$A33*MA_PPA!$C$6*(1+inp_ma_deal_cost_pct)</f>
        <v/>
      </c>
      <c r="G33" s="35">
        <f>($A33*MA_PPA!$C$6*(1+inp_ma_deal_cost_pct)+MA_Returns!$C$22-MA_Returns!$C$19)/MA_Returns!$C$20</f>
        <v/>
      </c>
    </row>
    <row r="34">
      <c r="A34" s="2" t="inlineStr">
        <is>
          <t>Value is linear in the synergy % and in the price, so this grid needs no model re-run. Negative = the deal destroys value.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8" t="inlineStr">
        <is>
          <t>Business_Review - one-page pack: KPIs, what moved, risks, downside alongside the point estimate</t>
        </is>
      </c>
    </row>
    <row r="2">
      <c r="A2" s="2" t="inlineStr">
        <is>
          <t>Section 1 is live for the selected scenario. Section 3 compares engine-run Base / Upside / Downside snapshots (grey italic).</t>
        </is>
      </c>
    </row>
    <row r="3">
      <c r="A3" s="3">
        <f>"Scenario shown: "&amp;inp_scenario&amp;"   |   Master check: "&amp;IF(chk_master=1,"ALL CHECKS PASS","CHECK FAILURE")</f>
        <v/>
      </c>
    </row>
    <row r="5">
      <c r="A5" s="13" t="inlineStr">
        <is>
          <t>1. Headline KPIs (live)</t>
        </is>
      </c>
      <c r="B5" s="14" t="n"/>
      <c r="C5" s="14" t="n"/>
      <c r="D5" s="14" t="n"/>
      <c r="E5" s="14" t="n"/>
      <c r="F5" s="14" t="n"/>
    </row>
    <row r="6">
      <c r="A6" s="11" t="inlineStr">
        <is>
          <t>KPI</t>
        </is>
      </c>
      <c r="B6" s="12" t="inlineStr">
        <is>
          <t>FY1</t>
        </is>
      </c>
      <c r="C6" s="12" t="inlineStr">
        <is>
          <t>FY2</t>
        </is>
      </c>
    </row>
    <row r="7">
      <c r="A7" s="5" t="inlineStr">
        <is>
          <t>Revenue</t>
        </is>
      </c>
      <c r="B7" s="19">
        <f>IS!AN12</f>
        <v/>
      </c>
      <c r="C7" s="19">
        <f>IS!AO12</f>
        <v/>
      </c>
    </row>
    <row r="8">
      <c r="A8" s="5" t="inlineStr">
        <is>
          <t>Gross margin</t>
        </is>
      </c>
      <c r="B8" s="17">
        <f>IS!AN21</f>
        <v/>
      </c>
      <c r="C8" s="17">
        <f>IS!AO21</f>
        <v/>
      </c>
    </row>
    <row r="9">
      <c r="A9" s="5" t="inlineStr">
        <is>
          <t>EBITDA</t>
        </is>
      </c>
      <c r="B9" s="19">
        <f>IS!AN29</f>
        <v/>
      </c>
      <c r="C9" s="19">
        <f>IS!AO29</f>
        <v/>
      </c>
    </row>
    <row r="10">
      <c r="A10" s="5" t="inlineStr">
        <is>
          <t>EBITDA margin</t>
        </is>
      </c>
      <c r="B10" s="17">
        <f>IS!AN30</f>
        <v/>
      </c>
      <c r="C10" s="17">
        <f>IS!AO30</f>
        <v/>
      </c>
    </row>
    <row r="11">
      <c r="A11" s="5" t="inlineStr">
        <is>
          <t>Closing ARR</t>
        </is>
      </c>
      <c r="B11" s="19">
        <f>SaaS_Metrics!AN13</f>
        <v/>
      </c>
      <c r="C11" s="19">
        <f>SaaS_Metrics!AO13</f>
        <v/>
      </c>
    </row>
    <row r="12">
      <c r="A12" s="5" t="inlineStr">
        <is>
          <t>ARR growth (year on year)</t>
        </is>
      </c>
      <c r="B12" s="17">
        <f>SaaS_Metrics!AN16</f>
        <v/>
      </c>
      <c r="C12" s="17">
        <f>SaaS_Metrics!AO16</f>
        <v/>
      </c>
    </row>
    <row r="13">
      <c r="A13" s="5" t="inlineStr">
        <is>
          <t>Net revenue retention</t>
        </is>
      </c>
      <c r="B13" s="17">
        <f>SaaS_Metrics!AN19</f>
        <v/>
      </c>
      <c r="C13" s="17">
        <f>SaaS_Metrics!AO19</f>
        <v/>
      </c>
    </row>
    <row r="14">
      <c r="A14" s="5" t="inlineStr">
        <is>
          <t>Gross revenue retention</t>
        </is>
      </c>
      <c r="B14" s="17">
        <f>SaaS_Metrics!AN20</f>
        <v/>
      </c>
      <c r="C14" s="17">
        <f>SaaS_Metrics!AO20</f>
        <v/>
      </c>
    </row>
    <row r="15">
      <c r="A15" s="5" t="inlineStr">
        <is>
          <t>CAC payback (months)</t>
        </is>
      </c>
      <c r="B15" s="60">
        <f>SaaS_Metrics!AN28</f>
        <v/>
      </c>
      <c r="C15" s="60">
        <f>SaaS_Metrics!AO28</f>
        <v/>
      </c>
    </row>
    <row r="16">
      <c r="A16" s="5" t="inlineStr">
        <is>
          <t>LTV / CAC</t>
        </is>
      </c>
      <c r="B16" s="63">
        <f>SaaS_Metrics!AN31</f>
        <v/>
      </c>
      <c r="C16" s="63">
        <f>SaaS_Metrics!AO31</f>
        <v/>
      </c>
    </row>
    <row r="17">
      <c r="A17" s="5" t="inlineStr">
        <is>
          <t>Burn multiple</t>
        </is>
      </c>
      <c r="B17" s="63">
        <f>SaaS_Metrics!AN36</f>
        <v/>
      </c>
      <c r="C17" s="63">
        <f>SaaS_Metrics!AO36</f>
        <v/>
      </c>
    </row>
    <row r="18">
      <c r="A18" s="5" t="inlineStr">
        <is>
          <t>Rule of 40</t>
        </is>
      </c>
      <c r="B18" s="17">
        <f>SaaS_Metrics!AN39</f>
        <v/>
      </c>
      <c r="C18" s="17">
        <f>SaaS_Metrics!AO39</f>
        <v/>
      </c>
    </row>
    <row r="19">
      <c r="A19" s="5" t="inlineStr">
        <is>
          <t>Closing cash</t>
        </is>
      </c>
      <c r="B19" s="19">
        <f>BS!AN9</f>
        <v/>
      </c>
      <c r="C19" s="19">
        <f>BS!AO9</f>
        <v/>
      </c>
    </row>
    <row r="20">
      <c r="A20" s="5" t="inlineStr">
        <is>
          <t>Closing headcount (FTE)</t>
        </is>
      </c>
      <c r="B20" s="19">
        <f>Headcount_Opex!AN33</f>
        <v/>
      </c>
      <c r="C20" s="19">
        <f>Headcount_Opex!AO33</f>
        <v/>
      </c>
    </row>
    <row r="22">
      <c r="A22" s="13" t="inlineStr">
        <is>
          <t>2. What moved vs budget in FY1, and why (live, from Budget_vs_Forecast)</t>
        </is>
      </c>
      <c r="B22" s="14" t="n"/>
      <c r="C22" s="14" t="n"/>
      <c r="D22" s="14" t="n"/>
      <c r="E22" s="14" t="n"/>
      <c r="F22" s="14" t="n"/>
    </row>
    <row r="23">
      <c r="A23" s="5" t="inlineStr">
        <is>
          <t>Closing ARR vs budget</t>
        </is>
      </c>
      <c r="B23" s="19">
        <f>Budget_vs_Forecast!D32</f>
        <v/>
      </c>
      <c r="F23" s="2" t="inlineStr">
        <is>
          <t>Sum of the four ARR drivers below</t>
        </is>
      </c>
    </row>
    <row r="24">
      <c r="A24" s="5" t="inlineStr">
        <is>
          <t xml:space="preserve">   Volume (new customers)</t>
        </is>
      </c>
      <c r="B24" s="19">
        <f>Budget_vs_Forecast!B41</f>
        <v/>
      </c>
      <c r="F24" s="2" t="inlineStr">
        <is>
          <t>Fewer/more new logos than budgeted</t>
        </is>
      </c>
    </row>
    <row r="25">
      <c r="A25" s="5" t="inlineStr">
        <is>
          <t xml:space="preserve">   Price (ACV)</t>
        </is>
      </c>
      <c r="B25" s="19">
        <f>Budget_vs_Forecast!B42</f>
        <v/>
      </c>
      <c r="F25" s="2" t="inlineStr">
        <is>
          <t>Deal size vs budget</t>
        </is>
      </c>
    </row>
    <row r="26">
      <c r="A26" s="5" t="inlineStr">
        <is>
          <t xml:space="preserve">   Expansion</t>
        </is>
      </c>
      <c r="B26" s="19">
        <f>Budget_vs_Forecast!B43</f>
        <v/>
      </c>
      <c r="F26" s="2" t="inlineStr">
        <is>
          <t>Upsell on the installed base</t>
        </is>
      </c>
    </row>
    <row r="27">
      <c r="A27" s="5" t="inlineStr">
        <is>
          <t xml:space="preserve">   Churn</t>
        </is>
      </c>
      <c r="B27" s="19">
        <f>Budget_vs_Forecast!B44</f>
        <v/>
      </c>
      <c r="F27" s="2" t="inlineStr">
        <is>
          <t>Negative = more ARR lost than budgeted</t>
        </is>
      </c>
    </row>
    <row r="28">
      <c r="A28" s="5" t="inlineStr">
        <is>
          <t>Revenue vs budget</t>
        </is>
      </c>
      <c r="B28" s="19">
        <f>Budget_vs_Forecast!D7</f>
        <v/>
      </c>
      <c r="F28" s="2" t="inlineStr"/>
    </row>
    <row r="29">
      <c r="A29" s="5" t="inlineStr">
        <is>
          <t>EBITDA vs budget</t>
        </is>
      </c>
      <c r="B29" s="19">
        <f>Budget_vs_Forecast!D14</f>
        <v/>
      </c>
      <c r="F29" s="2" t="inlineStr"/>
    </row>
    <row r="31">
      <c r="A31" s="13" t="inlineStr">
        <is>
          <t>3. Point estimate vs downside (engine-run snapshots)</t>
        </is>
      </c>
      <c r="B31" s="14" t="n"/>
      <c r="C31" s="14" t="n"/>
      <c r="D31" s="14" t="n"/>
      <c r="E31" s="14" t="n"/>
      <c r="F31" s="14" t="n"/>
    </row>
    <row r="32">
      <c r="A32" s="11" t="inlineStr">
        <is>
          <t>Metric</t>
        </is>
      </c>
      <c r="B32" s="12" t="inlineStr">
        <is>
          <t>Base</t>
        </is>
      </c>
      <c r="C32" s="12" t="inlineStr">
        <is>
          <t>Upside</t>
        </is>
      </c>
      <c r="D32" s="12" t="inlineStr">
        <is>
          <t>Downside</t>
        </is>
      </c>
      <c r="E32" s="12" t="inlineStr">
        <is>
          <t>Downside vs Base</t>
        </is>
      </c>
    </row>
    <row r="33">
      <c r="A33" s="5" t="inlineStr">
        <is>
          <t>FY1 revenue</t>
        </is>
      </c>
      <c r="B33" s="58" t="n">
        <v>48367.07750957378</v>
      </c>
      <c r="C33" s="58" t="n">
        <v>51168.00440684368</v>
      </c>
      <c r="D33" s="58" t="n">
        <v>43788.85000000001</v>
      </c>
      <c r="E33" s="36">
        <f>IF(AND(ISNUMBER(B33),ISNUMBER(D33)),D33-B33,"")</f>
        <v/>
      </c>
    </row>
    <row r="34">
      <c r="A34" s="5" t="inlineStr">
        <is>
          <t>FY2 revenue</t>
        </is>
      </c>
      <c r="B34" s="58" t="n">
        <v>62987.25423151415</v>
      </c>
      <c r="C34" s="58" t="n">
        <v>71813.50655839585</v>
      </c>
      <c r="D34" s="58" t="n">
        <v>49503.97016666666</v>
      </c>
      <c r="E34" s="36">
        <f>IF(AND(ISNUMBER(B34),ISNUMBER(D34)),D34-B34,"")</f>
        <v/>
      </c>
    </row>
    <row r="35">
      <c r="A35" s="5" t="inlineStr">
        <is>
          <t>FY1 EBITDA</t>
        </is>
      </c>
      <c r="B35" s="58" t="n">
        <v>-6972.478953642627</v>
      </c>
      <c r="C35" s="58" t="n">
        <v>-5719.745381246707</v>
      </c>
      <c r="D35" s="58" t="n">
        <v>-8479.333003192829</v>
      </c>
      <c r="E35" s="36">
        <f>IF(AND(ISNUMBER(B35),ISNUMBER(D35)),D35-B35,"")</f>
        <v/>
      </c>
    </row>
    <row r="36">
      <c r="A36" s="5" t="inlineStr">
        <is>
          <t>FY2 EBITDA</t>
        </is>
      </c>
      <c r="B36" s="58" t="n">
        <v>-3129.306617638708</v>
      </c>
      <c r="C36" s="58" t="n">
        <v>1191.610601637023</v>
      </c>
      <c r="D36" s="58" t="n">
        <v>-7574.985952637615</v>
      </c>
      <c r="E36" s="36">
        <f>IF(AND(ISNUMBER(B36),ISNUMBER(D36)),D36-B36,"")</f>
        <v/>
      </c>
    </row>
    <row r="37">
      <c r="A37" s="5" t="inlineStr">
        <is>
          <t>ARR, month 12</t>
        </is>
      </c>
      <c r="B37" s="58" t="n">
        <v>53403.64877749029</v>
      </c>
      <c r="C37" s="58" t="n">
        <v>58460.0251097919</v>
      </c>
      <c r="D37" s="58" t="n">
        <v>45146.28621624705</v>
      </c>
      <c r="E37" s="36">
        <f>IF(AND(ISNUMBER(B37),ISNUMBER(D37)),D37-B37,"")</f>
        <v/>
      </c>
    </row>
    <row r="38">
      <c r="A38" s="5" t="inlineStr">
        <is>
          <t>ARR, month 24</t>
        </is>
      </c>
      <c r="B38" s="58" t="n">
        <v>68321.2390608875</v>
      </c>
      <c r="C38" s="58" t="n">
        <v>80599.07374349954</v>
      </c>
      <c r="D38" s="58" t="n">
        <v>50209.0859404224</v>
      </c>
      <c r="E38" s="36">
        <f>IF(AND(ISNUMBER(B38),ISNUMBER(D38)),D38-B38,"")</f>
        <v/>
      </c>
    </row>
    <row r="39">
      <c r="A39" s="5" t="inlineStr">
        <is>
          <t>ARR growth, month 12</t>
        </is>
      </c>
      <c r="B39" s="59" t="n">
        <v>0.3350912194372571</v>
      </c>
      <c r="C39" s="59" t="n">
        <v>0.4615006277447973</v>
      </c>
      <c r="D39" s="59" t="n">
        <v>0.1286571554061762</v>
      </c>
      <c r="E39" s="35">
        <f>IF(AND(ISNUMBER(B39),ISNUMBER(D39)),D39-B39,"")</f>
        <v/>
      </c>
    </row>
    <row r="40">
      <c r="A40" s="5" t="inlineStr">
        <is>
          <t>NRR (annualised), month 12</t>
        </is>
      </c>
      <c r="B40" s="59" t="n">
        <v>1.027683678183687</v>
      </c>
      <c r="C40" s="59" t="n">
        <v>1.067691404346399</v>
      </c>
      <c r="D40" s="59" t="n">
        <v>0.9383698339615537</v>
      </c>
      <c r="E40" s="35">
        <f>IF(AND(ISNUMBER(B40),ISNUMBER(D40)),D40-B40,"")</f>
        <v/>
      </c>
    </row>
    <row r="41">
      <c r="A41" s="5" t="inlineStr">
        <is>
          <t>GRR (annualised), month 12</t>
        </is>
      </c>
      <c r="B41" s="59" t="n">
        <v>0.9197926144589365</v>
      </c>
      <c r="C41" s="59" t="n">
        <v>0.9332910124888659</v>
      </c>
      <c r="D41" s="59" t="n">
        <v>0.8733550084184381</v>
      </c>
      <c r="E41" s="35">
        <f>IF(AND(ISNUMBER(B41),ISNUMBER(D41)),D41-B41,"")</f>
        <v/>
      </c>
    </row>
    <row r="42">
      <c r="A42" s="5" t="inlineStr">
        <is>
          <t>CAC payback (months), month 12</t>
        </is>
      </c>
      <c r="B42" s="61" t="n">
        <v>18.82861402310649</v>
      </c>
      <c r="C42" s="61" t="n">
        <v>15.49387785124974</v>
      </c>
      <c r="D42" s="61" t="n">
        <v>27.41541803310455</v>
      </c>
      <c r="E42" s="62">
        <f>IF(AND(ISNUMBER(B42),ISNUMBER(D42)),D42-B42,"")</f>
        <v/>
      </c>
    </row>
    <row r="43">
      <c r="A43" s="5" t="inlineStr">
        <is>
          <t>LTV / CAC, month 12</t>
        </is>
      </c>
      <c r="B43" s="64" t="n">
        <v>4.502722161208029</v>
      </c>
      <c r="C43" s="64" t="n">
        <v>6.285383371388962</v>
      </c>
      <c r="D43" s="64" t="n">
        <v>2.227898320502268</v>
      </c>
      <c r="E43" s="51">
        <f>IF(AND(ISNUMBER(B43),ISNUMBER(D43)),D43-B43,"")</f>
        <v/>
      </c>
    </row>
    <row r="44">
      <c r="A44" s="5" t="inlineStr">
        <is>
          <t>Cash, month 24</t>
        </is>
      </c>
      <c r="B44" s="58" t="n">
        <v>22579.06116805044</v>
      </c>
      <c r="C44" s="58" t="n">
        <v>31968.08283111983</v>
      </c>
      <c r="D44" s="58" t="n">
        <v>9507.777611955475</v>
      </c>
      <c r="E44" s="36">
        <f>IF(AND(ISNUMBER(B44),ISNUMBER(D44)),D44-B44,"")</f>
        <v/>
      </c>
    </row>
    <row r="45">
      <c r="A45" s="5" t="inlineStr">
        <is>
          <t>Lowest month-end cash</t>
        </is>
      </c>
      <c r="B45" s="58" t="n">
        <v>20882.23290237776</v>
      </c>
      <c r="C45" s="58" t="n">
        <v>24328.28411847072</v>
      </c>
      <c r="D45" s="58" t="n">
        <v>9507.777611955475</v>
      </c>
      <c r="E45" s="36">
        <f>IF(AND(ISNUMBER(B45),ISNUMBER(D45)),D45-B45,"")</f>
        <v/>
      </c>
    </row>
    <row r="46">
      <c r="A46" s="5" t="inlineStr">
        <is>
          <t>Headcount (FTE), month 24</t>
        </is>
      </c>
      <c r="B46" s="58" t="n">
        <v>587.1999999999999</v>
      </c>
      <c r="C46" s="58" t="n">
        <v>640</v>
      </c>
      <c r="D46" s="58" t="n">
        <v>474.3999999999999</v>
      </c>
      <c r="E46" s="36">
        <f>IF(AND(ISNUMBER(B46),ISNUMBER(D46)),D46-B46,"")</f>
        <v/>
      </c>
    </row>
    <row r="47">
      <c r="A47" s="5" t="inlineStr">
        <is>
          <t>Rule of 40, month 24</t>
        </is>
      </c>
      <c r="B47" s="59" t="n">
        <v>0.273556037626191</v>
      </c>
      <c r="C47" s="59" t="n">
        <v>0.4498400298924586</v>
      </c>
      <c r="D47" s="59" t="n">
        <v>-0.01498957651887686</v>
      </c>
      <c r="E47" s="35">
        <f>IF(AND(ISNUMBER(B47),ISNUMBER(D47)),D47-B47,"")</f>
        <v/>
      </c>
    </row>
    <row r="48">
      <c r="A48" s="5" t="inlineStr">
        <is>
          <t>Deal value created (NPV)</t>
        </is>
      </c>
      <c r="B48" s="58" t="n">
        <v>7332.791679635993</v>
      </c>
      <c r="C48" s="58" t="n">
        <v>16826.55080166241</v>
      </c>
      <c r="D48" s="58" t="n">
        <v>-12591.84087303226</v>
      </c>
      <c r="E48" s="36">
        <f>IF(AND(ISNUMBER(B48),ISNUMBER(D48)),D48-B48,"")</f>
        <v/>
      </c>
    </row>
    <row r="49">
      <c r="A49" s="5" t="inlineStr">
        <is>
          <t>Pro-forma ARR, month 24</t>
        </is>
      </c>
      <c r="B49" s="58" t="n">
        <v>76704.9049518606</v>
      </c>
      <c r="C49" s="58" t="n">
        <v>89930.52489081104</v>
      </c>
      <c r="D49" s="58" t="n">
        <v>56496.17825181301</v>
      </c>
      <c r="E49" s="36">
        <f>IF(AND(ISNUMBER(B49),ISNUMBER(D49)),D49-B49,"")</f>
        <v/>
      </c>
    </row>
    <row r="50">
      <c r="A50" s="5" t="inlineStr">
        <is>
          <t>Pro-forma cash, month 24</t>
        </is>
      </c>
      <c r="B50" s="58" t="n">
        <v>8913.328274660522</v>
      </c>
      <c r="C50" s="58" t="n">
        <v>19125.33605361708</v>
      </c>
      <c r="D50" s="58" t="n">
        <v>-6226.307103575623</v>
      </c>
      <c r="E50" s="36">
        <f>IF(AND(ISNUMBER(B50),ISNUMBER(D50)),D50-B50,"")</f>
        <v/>
      </c>
    </row>
    <row r="51">
      <c r="A51" s="5" t="inlineStr">
        <is>
          <t>Pro-forma lowest month-end cash</t>
        </is>
      </c>
      <c r="B51" s="58" t="n">
        <v>6024.437011732435</v>
      </c>
      <c r="C51" s="58" t="n">
        <v>9820.607440689544</v>
      </c>
      <c r="D51" s="58" t="n">
        <v>-6226.307103575623</v>
      </c>
      <c r="E51" s="36">
        <f>IF(AND(ISNUMBER(B51),ISNUMBER(D51)),D51-B51,"")</f>
        <v/>
      </c>
    </row>
    <row r="53">
      <c r="A53" s="13" t="inlineStr">
        <is>
          <t>4. Risk flags (live thresholds on the selected scenario)</t>
        </is>
      </c>
      <c r="B53" s="14" t="n"/>
      <c r="C53" s="14" t="n"/>
      <c r="D53" s="14" t="n"/>
      <c r="E53" s="14" t="n"/>
      <c r="F53" s="14" t="n"/>
    </row>
    <row r="54">
      <c r="A54" s="5" t="inlineStr">
        <is>
          <t>Cash runway under this many months (month 24)</t>
        </is>
      </c>
      <c r="B54" s="57">
        <f>IF(ISNUMBER(SaaS_Metrics!AL38),IF(SaaS_Metrics!AL38&lt;$C54,"FLAG","OK"),"OK (cash generative)")</f>
        <v/>
      </c>
      <c r="C54" s="70" t="n">
        <v>12</v>
      </c>
      <c r="F54" s="2" t="inlineStr">
        <is>
          <t>Runway = cash / trailing 3-month average burn.</t>
        </is>
      </c>
    </row>
    <row r="55">
      <c r="A55" s="5" t="inlineStr">
        <is>
          <t>Net revenue retention below (month 12)</t>
        </is>
      </c>
      <c r="B55" s="57">
        <f>IF(SaaS_Metrics!Z19&lt;$C55,"FLAG","OK")</f>
        <v/>
      </c>
      <c r="C55" s="24" t="n">
        <v>1</v>
      </c>
      <c r="F55" s="2" t="inlineStr">
        <is>
          <t>The installed base is shrinking before new sales.</t>
        </is>
      </c>
    </row>
    <row r="56">
      <c r="A56" s="5" t="inlineStr">
        <is>
          <t>CAC payback above this many months (month 12)</t>
        </is>
      </c>
      <c r="B56" s="57">
        <f>IF(SaaS_Metrics!Z28&gt;$C56,"FLAG","OK")</f>
        <v/>
      </c>
      <c r="C56" s="70" t="n">
        <v>24</v>
      </c>
      <c r="F56" s="2" t="inlineStr">
        <is>
          <t>Growth is expensive to buy.</t>
        </is>
      </c>
    </row>
    <row r="57">
      <c r="A57" s="5" t="inlineStr">
        <is>
          <t>Lowest month-end cash below (GBP k)</t>
        </is>
      </c>
      <c r="B57" s="57">
        <f>IF(Sensitivity!B4&lt;$C57,"FLAG","OK")</f>
        <v/>
      </c>
      <c r="C57" s="22" t="n">
        <v>0</v>
      </c>
      <c r="F57" s="2" t="inlineStr">
        <is>
          <t>Funding gap.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6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MA_Target - Vaultline Archive Ltd, standalone (simplified three statements)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Drivers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Monthly gross churn rate</t>
        </is>
      </c>
      <c r="B9" s="2" t="inlineStr">
        <is>
          <t>%/mo</t>
        </is>
      </c>
      <c r="O9" s="35">
        <f>1-(1-inp_v_churn)^(1/12)</f>
        <v/>
      </c>
      <c r="P9" s="35">
        <f>1-(1-inp_v_churn)^(1/12)</f>
        <v/>
      </c>
      <c r="Q9" s="35">
        <f>1-(1-inp_v_churn)^(1/12)</f>
        <v/>
      </c>
      <c r="R9" s="35">
        <f>1-(1-inp_v_churn)^(1/12)</f>
        <v/>
      </c>
      <c r="S9" s="35">
        <f>1-(1-inp_v_churn)^(1/12)</f>
        <v/>
      </c>
      <c r="T9" s="35">
        <f>1-(1-inp_v_churn)^(1/12)</f>
        <v/>
      </c>
      <c r="U9" s="35">
        <f>1-(1-inp_v_churn)^(1/12)</f>
        <v/>
      </c>
      <c r="V9" s="35">
        <f>1-(1-inp_v_churn)^(1/12)</f>
        <v/>
      </c>
      <c r="W9" s="35">
        <f>1-(1-inp_v_churn)^(1/12)</f>
        <v/>
      </c>
      <c r="X9" s="35">
        <f>1-(1-inp_v_churn)^(1/12)</f>
        <v/>
      </c>
      <c r="Y9" s="35">
        <f>1-(1-inp_v_churn)^(1/12)</f>
        <v/>
      </c>
      <c r="Z9" s="35">
        <f>1-(1-inp_v_churn)^(1/12)</f>
        <v/>
      </c>
      <c r="AA9" s="35">
        <f>1-(1-inp_v_churn)^(1/12)</f>
        <v/>
      </c>
      <c r="AB9" s="35">
        <f>1-(1-inp_v_churn)^(1/12)</f>
        <v/>
      </c>
      <c r="AC9" s="35">
        <f>1-(1-inp_v_churn)^(1/12)</f>
        <v/>
      </c>
      <c r="AD9" s="35">
        <f>1-(1-inp_v_churn)^(1/12)</f>
        <v/>
      </c>
      <c r="AE9" s="35">
        <f>1-(1-inp_v_churn)^(1/12)</f>
        <v/>
      </c>
      <c r="AF9" s="35">
        <f>1-(1-inp_v_churn)^(1/12)</f>
        <v/>
      </c>
      <c r="AG9" s="35">
        <f>1-(1-inp_v_churn)^(1/12)</f>
        <v/>
      </c>
      <c r="AH9" s="35">
        <f>1-(1-inp_v_churn)^(1/12)</f>
        <v/>
      </c>
      <c r="AI9" s="35">
        <f>1-(1-inp_v_churn)^(1/12)</f>
        <v/>
      </c>
      <c r="AJ9" s="35">
        <f>1-(1-inp_v_churn)^(1/12)</f>
        <v/>
      </c>
      <c r="AK9" s="35">
        <f>1-(1-inp_v_churn)^(1/12)</f>
        <v/>
      </c>
      <c r="AL9" s="35">
        <f>1-(1-inp_v_churn)^(1/12)</f>
        <v/>
      </c>
      <c r="AN9" s="35">
        <f>INDEX($O9:$AL9,1,AN$5*12)</f>
        <v/>
      </c>
      <c r="AO9" s="35">
        <f>INDEX($O9:$AL9,1,AO$5*12)</f>
        <v/>
      </c>
    </row>
    <row r="10">
      <c r="A10" s="5" t="inlineStr">
        <is>
          <t>Monthly expansion rate</t>
        </is>
      </c>
      <c r="B10" s="2" t="inlineStr">
        <is>
          <t>%/mo</t>
        </is>
      </c>
      <c r="O10" s="35">
        <f>(1+inp_v_exp)^(1/12)-1</f>
        <v/>
      </c>
      <c r="P10" s="35">
        <f>(1+inp_v_exp)^(1/12)-1</f>
        <v/>
      </c>
      <c r="Q10" s="35">
        <f>(1+inp_v_exp)^(1/12)-1</f>
        <v/>
      </c>
      <c r="R10" s="35">
        <f>(1+inp_v_exp)^(1/12)-1</f>
        <v/>
      </c>
      <c r="S10" s="35">
        <f>(1+inp_v_exp)^(1/12)-1</f>
        <v/>
      </c>
      <c r="T10" s="35">
        <f>(1+inp_v_exp)^(1/12)-1</f>
        <v/>
      </c>
      <c r="U10" s="35">
        <f>(1+inp_v_exp)^(1/12)-1</f>
        <v/>
      </c>
      <c r="V10" s="35">
        <f>(1+inp_v_exp)^(1/12)-1</f>
        <v/>
      </c>
      <c r="W10" s="35">
        <f>(1+inp_v_exp)^(1/12)-1</f>
        <v/>
      </c>
      <c r="X10" s="35">
        <f>(1+inp_v_exp)^(1/12)-1</f>
        <v/>
      </c>
      <c r="Y10" s="35">
        <f>(1+inp_v_exp)^(1/12)-1</f>
        <v/>
      </c>
      <c r="Z10" s="35">
        <f>(1+inp_v_exp)^(1/12)-1</f>
        <v/>
      </c>
      <c r="AA10" s="35">
        <f>(1+inp_v_exp)^(1/12)-1</f>
        <v/>
      </c>
      <c r="AB10" s="35">
        <f>(1+inp_v_exp)^(1/12)-1</f>
        <v/>
      </c>
      <c r="AC10" s="35">
        <f>(1+inp_v_exp)^(1/12)-1</f>
        <v/>
      </c>
      <c r="AD10" s="35">
        <f>(1+inp_v_exp)^(1/12)-1</f>
        <v/>
      </c>
      <c r="AE10" s="35">
        <f>(1+inp_v_exp)^(1/12)-1</f>
        <v/>
      </c>
      <c r="AF10" s="35">
        <f>(1+inp_v_exp)^(1/12)-1</f>
        <v/>
      </c>
      <c r="AG10" s="35">
        <f>(1+inp_v_exp)^(1/12)-1</f>
        <v/>
      </c>
      <c r="AH10" s="35">
        <f>(1+inp_v_exp)^(1/12)-1</f>
        <v/>
      </c>
      <c r="AI10" s="35">
        <f>(1+inp_v_exp)^(1/12)-1</f>
        <v/>
      </c>
      <c r="AJ10" s="35">
        <f>(1+inp_v_exp)^(1/12)-1</f>
        <v/>
      </c>
      <c r="AK10" s="35">
        <f>(1+inp_v_exp)^(1/12)-1</f>
        <v/>
      </c>
      <c r="AL10" s="35">
        <f>(1+inp_v_exp)^(1/12)-1</f>
        <v/>
      </c>
      <c r="AN10" s="35">
        <f>INDEX($O10:$AL10,1,AN$5*12)</f>
        <v/>
      </c>
      <c r="AO10" s="35">
        <f>INDEX($O10:$AL10,1,AO$5*12)</f>
        <v/>
      </c>
    </row>
    <row r="12">
      <c r="A12" s="13" t="inlineStr">
        <is>
          <t>ARR and customers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5" t="inlineStr">
        <is>
          <t>Opening ARR</t>
        </is>
      </c>
      <c r="B13" s="2" t="inlineStr">
        <is>
          <t>GBP k</t>
        </is>
      </c>
      <c r="O13" s="36">
        <f>N17</f>
        <v/>
      </c>
      <c r="P13" s="36">
        <f>O17</f>
        <v/>
      </c>
      <c r="Q13" s="36">
        <f>P17</f>
        <v/>
      </c>
      <c r="R13" s="36">
        <f>Q17</f>
        <v/>
      </c>
      <c r="S13" s="36">
        <f>R17</f>
        <v/>
      </c>
      <c r="T13" s="36">
        <f>S17</f>
        <v/>
      </c>
      <c r="U13" s="36">
        <f>T17</f>
        <v/>
      </c>
      <c r="V13" s="36">
        <f>U17</f>
        <v/>
      </c>
      <c r="W13" s="36">
        <f>V17</f>
        <v/>
      </c>
      <c r="X13" s="36">
        <f>W17</f>
        <v/>
      </c>
      <c r="Y13" s="36">
        <f>X17</f>
        <v/>
      </c>
      <c r="Z13" s="36">
        <f>Y17</f>
        <v/>
      </c>
      <c r="AA13" s="36">
        <f>Z17</f>
        <v/>
      </c>
      <c r="AB13" s="36">
        <f>AA17</f>
        <v/>
      </c>
      <c r="AC13" s="36">
        <f>AB17</f>
        <v/>
      </c>
      <c r="AD13" s="36">
        <f>AC17</f>
        <v/>
      </c>
      <c r="AE13" s="36">
        <f>AD17</f>
        <v/>
      </c>
      <c r="AF13" s="36">
        <f>AE17</f>
        <v/>
      </c>
      <c r="AG13" s="36">
        <f>AF17</f>
        <v/>
      </c>
      <c r="AH13" s="36">
        <f>AG17</f>
        <v/>
      </c>
      <c r="AI13" s="36">
        <f>AH17</f>
        <v/>
      </c>
      <c r="AJ13" s="36">
        <f>AI17</f>
        <v/>
      </c>
      <c r="AK13" s="36">
        <f>AJ17</f>
        <v/>
      </c>
      <c r="AL13" s="36">
        <f>AK17</f>
        <v/>
      </c>
      <c r="AN13" s="36">
        <f>INDEX($O13:$AL13,1,(AN$5-1)*12+1)</f>
        <v/>
      </c>
      <c r="AO13" s="36">
        <f>INDEX($O13:$AL13,1,(AO$5-1)*12+1)</f>
        <v/>
      </c>
    </row>
    <row r="14">
      <c r="A14" s="5" t="inlineStr">
        <is>
          <t>+ New logos</t>
        </is>
      </c>
      <c r="B14" s="2" t="inlineStr">
        <is>
          <t>GBP k</t>
        </is>
      </c>
      <c r="O14" s="36">
        <f>inp_v_logos*inp_v_acv</f>
        <v/>
      </c>
      <c r="P14" s="36">
        <f>inp_v_logos*inp_v_acv</f>
        <v/>
      </c>
      <c r="Q14" s="36">
        <f>inp_v_logos*inp_v_acv</f>
        <v/>
      </c>
      <c r="R14" s="36">
        <f>inp_v_logos*inp_v_acv</f>
        <v/>
      </c>
      <c r="S14" s="36">
        <f>inp_v_logos*inp_v_acv</f>
        <v/>
      </c>
      <c r="T14" s="36">
        <f>inp_v_logos*inp_v_acv</f>
        <v/>
      </c>
      <c r="U14" s="36">
        <f>inp_v_logos*inp_v_acv</f>
        <v/>
      </c>
      <c r="V14" s="36">
        <f>inp_v_logos*inp_v_acv</f>
        <v/>
      </c>
      <c r="W14" s="36">
        <f>inp_v_logos*inp_v_acv</f>
        <v/>
      </c>
      <c r="X14" s="36">
        <f>inp_v_logos*inp_v_acv</f>
        <v/>
      </c>
      <c r="Y14" s="36">
        <f>inp_v_logos*inp_v_acv</f>
        <v/>
      </c>
      <c r="Z14" s="36">
        <f>inp_v_logos*inp_v_acv</f>
        <v/>
      </c>
      <c r="AA14" s="36">
        <f>inp_v_logos*inp_v_acv</f>
        <v/>
      </c>
      <c r="AB14" s="36">
        <f>inp_v_logos*inp_v_acv</f>
        <v/>
      </c>
      <c r="AC14" s="36">
        <f>inp_v_logos*inp_v_acv</f>
        <v/>
      </c>
      <c r="AD14" s="36">
        <f>inp_v_logos*inp_v_acv</f>
        <v/>
      </c>
      <c r="AE14" s="36">
        <f>inp_v_logos*inp_v_acv</f>
        <v/>
      </c>
      <c r="AF14" s="36">
        <f>inp_v_logos*inp_v_acv</f>
        <v/>
      </c>
      <c r="AG14" s="36">
        <f>inp_v_logos*inp_v_acv</f>
        <v/>
      </c>
      <c r="AH14" s="36">
        <f>inp_v_logos*inp_v_acv</f>
        <v/>
      </c>
      <c r="AI14" s="36">
        <f>inp_v_logos*inp_v_acv</f>
        <v/>
      </c>
      <c r="AJ14" s="36">
        <f>inp_v_logos*inp_v_acv</f>
        <v/>
      </c>
      <c r="AK14" s="36">
        <f>inp_v_logos*inp_v_acv</f>
        <v/>
      </c>
      <c r="AL14" s="36">
        <f>inp_v_logos*inp_v_acv</f>
        <v/>
      </c>
      <c r="AN14" s="36">
        <f>SUMIF($O$5:$AL$5,AN$5,$O14:$AL14)</f>
        <v/>
      </c>
      <c r="AO14" s="36">
        <f>SUMIF($O$5:$AL$5,AO$5,$O14:$AL14)</f>
        <v/>
      </c>
    </row>
    <row r="15">
      <c r="A15" s="5" t="inlineStr">
        <is>
          <t>+ Expansion</t>
        </is>
      </c>
      <c r="B15" s="2" t="inlineStr">
        <is>
          <t>GBP k</t>
        </is>
      </c>
      <c r="O15" s="36">
        <f>O13*O10</f>
        <v/>
      </c>
      <c r="P15" s="36">
        <f>P13*P10</f>
        <v/>
      </c>
      <c r="Q15" s="36">
        <f>Q13*Q10</f>
        <v/>
      </c>
      <c r="R15" s="36">
        <f>R13*R10</f>
        <v/>
      </c>
      <c r="S15" s="36">
        <f>S13*S10</f>
        <v/>
      </c>
      <c r="T15" s="36">
        <f>T13*T10</f>
        <v/>
      </c>
      <c r="U15" s="36">
        <f>U13*U10</f>
        <v/>
      </c>
      <c r="V15" s="36">
        <f>V13*V10</f>
        <v/>
      </c>
      <c r="W15" s="36">
        <f>W13*W10</f>
        <v/>
      </c>
      <c r="X15" s="36">
        <f>X13*X10</f>
        <v/>
      </c>
      <c r="Y15" s="36">
        <f>Y13*Y10</f>
        <v/>
      </c>
      <c r="Z15" s="36">
        <f>Z13*Z10</f>
        <v/>
      </c>
      <c r="AA15" s="36">
        <f>AA13*AA10</f>
        <v/>
      </c>
      <c r="AB15" s="36">
        <f>AB13*AB10</f>
        <v/>
      </c>
      <c r="AC15" s="36">
        <f>AC13*AC10</f>
        <v/>
      </c>
      <c r="AD15" s="36">
        <f>AD13*AD10</f>
        <v/>
      </c>
      <c r="AE15" s="36">
        <f>AE13*AE10</f>
        <v/>
      </c>
      <c r="AF15" s="36">
        <f>AF13*AF10</f>
        <v/>
      </c>
      <c r="AG15" s="36">
        <f>AG13*AG10</f>
        <v/>
      </c>
      <c r="AH15" s="36">
        <f>AH13*AH10</f>
        <v/>
      </c>
      <c r="AI15" s="36">
        <f>AI13*AI10</f>
        <v/>
      </c>
      <c r="AJ15" s="36">
        <f>AJ13*AJ10</f>
        <v/>
      </c>
      <c r="AK15" s="36">
        <f>AK13*AK10</f>
        <v/>
      </c>
      <c r="AL15" s="36">
        <f>AL13*AL10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- Churn</t>
        </is>
      </c>
      <c r="B16" s="2" t="inlineStr">
        <is>
          <t>GBP k</t>
        </is>
      </c>
      <c r="O16" s="36">
        <f>-O13*O9</f>
        <v/>
      </c>
      <c r="P16" s="36">
        <f>-P13*P9</f>
        <v/>
      </c>
      <c r="Q16" s="36">
        <f>-Q13*Q9</f>
        <v/>
      </c>
      <c r="R16" s="36">
        <f>-R13*R9</f>
        <v/>
      </c>
      <c r="S16" s="36">
        <f>-S13*S9</f>
        <v/>
      </c>
      <c r="T16" s="36">
        <f>-T13*T9</f>
        <v/>
      </c>
      <c r="U16" s="36">
        <f>-U13*U9</f>
        <v/>
      </c>
      <c r="V16" s="36">
        <f>-V13*V9</f>
        <v/>
      </c>
      <c r="W16" s="36">
        <f>-W13*W9</f>
        <v/>
      </c>
      <c r="X16" s="36">
        <f>-X13*X9</f>
        <v/>
      </c>
      <c r="Y16" s="36">
        <f>-Y13*Y9</f>
        <v/>
      </c>
      <c r="Z16" s="36">
        <f>-Z13*Z9</f>
        <v/>
      </c>
      <c r="AA16" s="36">
        <f>-AA13*AA9</f>
        <v/>
      </c>
      <c r="AB16" s="36">
        <f>-AB13*AB9</f>
        <v/>
      </c>
      <c r="AC16" s="36">
        <f>-AC13*AC9</f>
        <v/>
      </c>
      <c r="AD16" s="36">
        <f>-AD13*AD9</f>
        <v/>
      </c>
      <c r="AE16" s="36">
        <f>-AE13*AE9</f>
        <v/>
      </c>
      <c r="AF16" s="36">
        <f>-AF13*AF9</f>
        <v/>
      </c>
      <c r="AG16" s="36">
        <f>-AG13*AG9</f>
        <v/>
      </c>
      <c r="AH16" s="36">
        <f>-AH13*AH9</f>
        <v/>
      </c>
      <c r="AI16" s="36">
        <f>-AI13*AI9</f>
        <v/>
      </c>
      <c r="AJ16" s="36">
        <f>-AJ13*AJ9</f>
        <v/>
      </c>
      <c r="AK16" s="36">
        <f>-AK13*AK9</f>
        <v/>
      </c>
      <c r="AL16" s="36">
        <f>-AL13*AL9</f>
        <v/>
      </c>
      <c r="AN16" s="36">
        <f>SUMIF($O$5:$AL$5,AN$5,$O16:$AL16)</f>
        <v/>
      </c>
      <c r="AO16" s="36">
        <f>SUMIF($O$5:$AL$5,AO$5,$O16:$AL16)</f>
        <v/>
      </c>
    </row>
    <row r="17">
      <c r="A17" s="37" t="inlineStr">
        <is>
          <t>Closing ARR</t>
        </is>
      </c>
      <c r="B17" s="38" t="inlineStr">
        <is>
          <t>GBP k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40">
        <f>inp_v_arr_open</f>
        <v/>
      </c>
      <c r="O17" s="40">
        <f>SUM(O13:O16)</f>
        <v/>
      </c>
      <c r="P17" s="40">
        <f>SUM(P13:P16)</f>
        <v/>
      </c>
      <c r="Q17" s="40">
        <f>SUM(Q13:Q16)</f>
        <v/>
      </c>
      <c r="R17" s="40">
        <f>SUM(R13:R16)</f>
        <v/>
      </c>
      <c r="S17" s="40">
        <f>SUM(S13:S16)</f>
        <v/>
      </c>
      <c r="T17" s="40">
        <f>SUM(T13:T16)</f>
        <v/>
      </c>
      <c r="U17" s="40">
        <f>SUM(U13:U16)</f>
        <v/>
      </c>
      <c r="V17" s="40">
        <f>SUM(V13:V16)</f>
        <v/>
      </c>
      <c r="W17" s="40">
        <f>SUM(W13:W16)</f>
        <v/>
      </c>
      <c r="X17" s="40">
        <f>SUM(X13:X16)</f>
        <v/>
      </c>
      <c r="Y17" s="40">
        <f>SUM(Y13:Y16)</f>
        <v/>
      </c>
      <c r="Z17" s="40">
        <f>SUM(Z13:Z16)</f>
        <v/>
      </c>
      <c r="AA17" s="40">
        <f>SUM(AA13:AA16)</f>
        <v/>
      </c>
      <c r="AB17" s="40">
        <f>SUM(AB13:AB16)</f>
        <v/>
      </c>
      <c r="AC17" s="40">
        <f>SUM(AC13:AC16)</f>
        <v/>
      </c>
      <c r="AD17" s="40">
        <f>SUM(AD13:AD16)</f>
        <v/>
      </c>
      <c r="AE17" s="40">
        <f>SUM(AE13:AE16)</f>
        <v/>
      </c>
      <c r="AF17" s="40">
        <f>SUM(AF13:AF16)</f>
        <v/>
      </c>
      <c r="AG17" s="40">
        <f>SUM(AG13:AG16)</f>
        <v/>
      </c>
      <c r="AH17" s="40">
        <f>SUM(AH13:AH16)</f>
        <v/>
      </c>
      <c r="AI17" s="40">
        <f>SUM(AI13:AI16)</f>
        <v/>
      </c>
      <c r="AJ17" s="40">
        <f>SUM(AJ13:AJ16)</f>
        <v/>
      </c>
      <c r="AK17" s="40">
        <f>SUM(AK13:AK16)</f>
        <v/>
      </c>
      <c r="AL17" s="40">
        <f>SUM(AL13:AL16)</f>
        <v/>
      </c>
      <c r="AM17" s="39" t="n"/>
      <c r="AN17" s="40">
        <f>INDEX($O17:$AL17,1,AN$5*12)</f>
        <v/>
      </c>
      <c r="AO17" s="40">
        <f>INDEX($O17:$AL17,1,AO$5*12)</f>
        <v/>
      </c>
    </row>
    <row r="18">
      <c r="A18" s="5" t="inlineStr">
        <is>
          <t>Closing customers</t>
        </is>
      </c>
      <c r="B18" s="2" t="inlineStr">
        <is>
          <t>#</t>
        </is>
      </c>
      <c r="N18" s="34">
        <f>inp_v_cust_open</f>
        <v/>
      </c>
      <c r="O18" s="34">
        <f>N18*(1-O9)+inp_v_logos</f>
        <v/>
      </c>
      <c r="P18" s="34">
        <f>O18*(1-P9)+inp_v_logos</f>
        <v/>
      </c>
      <c r="Q18" s="34">
        <f>P18*(1-Q9)+inp_v_logos</f>
        <v/>
      </c>
      <c r="R18" s="34">
        <f>Q18*(1-R9)+inp_v_logos</f>
        <v/>
      </c>
      <c r="S18" s="34">
        <f>R18*(1-S9)+inp_v_logos</f>
        <v/>
      </c>
      <c r="T18" s="34">
        <f>S18*(1-T9)+inp_v_logos</f>
        <v/>
      </c>
      <c r="U18" s="34">
        <f>T18*(1-U9)+inp_v_logos</f>
        <v/>
      </c>
      <c r="V18" s="34">
        <f>U18*(1-V9)+inp_v_logos</f>
        <v/>
      </c>
      <c r="W18" s="34">
        <f>V18*(1-W9)+inp_v_logos</f>
        <v/>
      </c>
      <c r="X18" s="34">
        <f>W18*(1-X9)+inp_v_logos</f>
        <v/>
      </c>
      <c r="Y18" s="34">
        <f>X18*(1-Y9)+inp_v_logos</f>
        <v/>
      </c>
      <c r="Z18" s="34">
        <f>Y18*(1-Z9)+inp_v_logos</f>
        <v/>
      </c>
      <c r="AA18" s="34">
        <f>Z18*(1-AA9)+inp_v_logos</f>
        <v/>
      </c>
      <c r="AB18" s="34">
        <f>AA18*(1-AB9)+inp_v_logos</f>
        <v/>
      </c>
      <c r="AC18" s="34">
        <f>AB18*(1-AC9)+inp_v_logos</f>
        <v/>
      </c>
      <c r="AD18" s="34">
        <f>AC18*(1-AD9)+inp_v_logos</f>
        <v/>
      </c>
      <c r="AE18" s="34">
        <f>AD18*(1-AE9)+inp_v_logos</f>
        <v/>
      </c>
      <c r="AF18" s="34">
        <f>AE18*(1-AF9)+inp_v_logos</f>
        <v/>
      </c>
      <c r="AG18" s="34">
        <f>AF18*(1-AG9)+inp_v_logos</f>
        <v/>
      </c>
      <c r="AH18" s="34">
        <f>AG18*(1-AH9)+inp_v_logos</f>
        <v/>
      </c>
      <c r="AI18" s="34">
        <f>AH18*(1-AI9)+inp_v_logos</f>
        <v/>
      </c>
      <c r="AJ18" s="34">
        <f>AI18*(1-AJ9)+inp_v_logos</f>
        <v/>
      </c>
      <c r="AK18" s="34">
        <f>AJ18*(1-AK9)+inp_v_logos</f>
        <v/>
      </c>
      <c r="AL18" s="34">
        <f>AK18*(1-AL9)+inp_v_logos</f>
        <v/>
      </c>
      <c r="AN18" s="34">
        <f>INDEX($O18:$AL18,1,AN$5*12)</f>
        <v/>
      </c>
      <c r="AO18" s="34">
        <f>INDEX($O18:$AL18,1,AO$5*12)</f>
        <v/>
      </c>
    </row>
    <row r="20">
      <c r="A20" s="13" t="inlineStr">
        <is>
          <t>Billings and revenue (annual upfront, recognised ratably; columns C:N hold opening-year history)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5" t="inlineStr">
        <is>
          <t>Invoices raised</t>
        </is>
      </c>
      <c r="B21" s="2" t="inlineStr">
        <is>
          <t>GBP k</t>
        </is>
      </c>
      <c r="C21" s="36">
        <f>inp_v_arr_open/12</f>
        <v/>
      </c>
      <c r="D21" s="36">
        <f>inp_v_arr_open/12</f>
        <v/>
      </c>
      <c r="E21" s="36">
        <f>inp_v_arr_open/12</f>
        <v/>
      </c>
      <c r="F21" s="36">
        <f>inp_v_arr_open/12</f>
        <v/>
      </c>
      <c r="G21" s="36">
        <f>inp_v_arr_open/12</f>
        <v/>
      </c>
      <c r="H21" s="36">
        <f>inp_v_arr_open/12</f>
        <v/>
      </c>
      <c r="I21" s="36">
        <f>inp_v_arr_open/12</f>
        <v/>
      </c>
      <c r="J21" s="36">
        <f>inp_v_arr_open/12</f>
        <v/>
      </c>
      <c r="K21" s="36">
        <f>inp_v_arr_open/12</f>
        <v/>
      </c>
      <c r="L21" s="36">
        <f>inp_v_arr_open/12</f>
        <v/>
      </c>
      <c r="M21" s="36">
        <f>inp_v_arr_open/12</f>
        <v/>
      </c>
      <c r="N21" s="36">
        <f>inp_v_arr_open/12</f>
        <v/>
      </c>
      <c r="O21" s="36">
        <f>O14+(1+inp_v_exp-inp_v_churn)*C21</f>
        <v/>
      </c>
      <c r="P21" s="36">
        <f>P14+(1+inp_v_exp-inp_v_churn)*D21</f>
        <v/>
      </c>
      <c r="Q21" s="36">
        <f>Q14+(1+inp_v_exp-inp_v_churn)*E21</f>
        <v/>
      </c>
      <c r="R21" s="36">
        <f>R14+(1+inp_v_exp-inp_v_churn)*F21</f>
        <v/>
      </c>
      <c r="S21" s="36">
        <f>S14+(1+inp_v_exp-inp_v_churn)*G21</f>
        <v/>
      </c>
      <c r="T21" s="36">
        <f>T14+(1+inp_v_exp-inp_v_churn)*H21</f>
        <v/>
      </c>
      <c r="U21" s="36">
        <f>U14+(1+inp_v_exp-inp_v_churn)*I21</f>
        <v/>
      </c>
      <c r="V21" s="36">
        <f>V14+(1+inp_v_exp-inp_v_churn)*J21</f>
        <v/>
      </c>
      <c r="W21" s="36">
        <f>W14+(1+inp_v_exp-inp_v_churn)*K21</f>
        <v/>
      </c>
      <c r="X21" s="36">
        <f>X14+(1+inp_v_exp-inp_v_churn)*L21</f>
        <v/>
      </c>
      <c r="Y21" s="36">
        <f>Y14+(1+inp_v_exp-inp_v_churn)*M21</f>
        <v/>
      </c>
      <c r="Z21" s="36">
        <f>Z14+(1+inp_v_exp-inp_v_churn)*N21</f>
        <v/>
      </c>
      <c r="AA21" s="36">
        <f>AA14+(1+inp_v_exp-inp_v_churn)*O21</f>
        <v/>
      </c>
      <c r="AB21" s="36">
        <f>AB14+(1+inp_v_exp-inp_v_churn)*P21</f>
        <v/>
      </c>
      <c r="AC21" s="36">
        <f>AC14+(1+inp_v_exp-inp_v_churn)*Q21</f>
        <v/>
      </c>
      <c r="AD21" s="36">
        <f>AD14+(1+inp_v_exp-inp_v_churn)*R21</f>
        <v/>
      </c>
      <c r="AE21" s="36">
        <f>AE14+(1+inp_v_exp-inp_v_churn)*S21</f>
        <v/>
      </c>
      <c r="AF21" s="36">
        <f>AF14+(1+inp_v_exp-inp_v_churn)*T21</f>
        <v/>
      </c>
      <c r="AG21" s="36">
        <f>AG14+(1+inp_v_exp-inp_v_churn)*U21</f>
        <v/>
      </c>
      <c r="AH21" s="36">
        <f>AH14+(1+inp_v_exp-inp_v_churn)*V21</f>
        <v/>
      </c>
      <c r="AI21" s="36">
        <f>AI14+(1+inp_v_exp-inp_v_churn)*W21</f>
        <v/>
      </c>
      <c r="AJ21" s="36">
        <f>AJ14+(1+inp_v_exp-inp_v_churn)*X21</f>
        <v/>
      </c>
      <c r="AK21" s="36">
        <f>AK14+(1+inp_v_exp-inp_v_churn)*Y21</f>
        <v/>
      </c>
      <c r="AL21" s="36">
        <f>AL14+(1+inp_v_exp-inp_v_churn)*Z21</f>
        <v/>
      </c>
      <c r="AN21" s="36">
        <f>SUMIF($O$5:$AL$5,AN$5,$O21:$AL21)</f>
        <v/>
      </c>
      <c r="AO21" s="36">
        <f>SUMIF($O$5:$AL$5,AO$5,$O21:$AL21)</f>
        <v/>
      </c>
    </row>
    <row r="22">
      <c r="A22" s="5" t="inlineStr">
        <is>
          <t>Unexpired share of each historic invoice at opening date</t>
        </is>
      </c>
      <c r="B22" s="2" t="inlineStr">
        <is>
          <t>x</t>
        </is>
      </c>
      <c r="C22" s="33">
        <f>(C$3+11)/12</f>
        <v/>
      </c>
      <c r="D22" s="33">
        <f>(D$3+11)/12</f>
        <v/>
      </c>
      <c r="E22" s="33">
        <f>(E$3+11)/12</f>
        <v/>
      </c>
      <c r="F22" s="33">
        <f>(F$3+11)/12</f>
        <v/>
      </c>
      <c r="G22" s="33">
        <f>(G$3+11)/12</f>
        <v/>
      </c>
      <c r="H22" s="33">
        <f>(H$3+11)/12</f>
        <v/>
      </c>
      <c r="I22" s="33">
        <f>(I$3+11)/12</f>
        <v/>
      </c>
      <c r="J22" s="33">
        <f>(J$3+11)/12</f>
        <v/>
      </c>
      <c r="K22" s="33">
        <f>(K$3+11)/12</f>
        <v/>
      </c>
      <c r="L22" s="33">
        <f>(L$3+11)/12</f>
        <v/>
      </c>
      <c r="M22" s="33">
        <f>(M$3+11)/12</f>
        <v/>
      </c>
      <c r="N22" s="33">
        <f>(N$3+11)/12</f>
        <v/>
      </c>
    </row>
    <row r="23">
      <c r="A23" s="3" t="inlineStr">
        <is>
          <t>Revenue (each invoice over 12 months)</t>
        </is>
      </c>
      <c r="B23" s="2" t="inlineStr">
        <is>
          <t>GBP k</t>
        </is>
      </c>
      <c r="O23" s="42">
        <f>SUM(D21:O21)/12</f>
        <v/>
      </c>
      <c r="P23" s="42">
        <f>SUM(E21:P21)/12</f>
        <v/>
      </c>
      <c r="Q23" s="42">
        <f>SUM(F21:Q21)/12</f>
        <v/>
      </c>
      <c r="R23" s="42">
        <f>SUM(G21:R21)/12</f>
        <v/>
      </c>
      <c r="S23" s="42">
        <f>SUM(H21:S21)/12</f>
        <v/>
      </c>
      <c r="T23" s="42">
        <f>SUM(I21:T21)/12</f>
        <v/>
      </c>
      <c r="U23" s="42">
        <f>SUM(J21:U21)/12</f>
        <v/>
      </c>
      <c r="V23" s="42">
        <f>SUM(K21:V21)/12</f>
        <v/>
      </c>
      <c r="W23" s="42">
        <f>SUM(L21:W21)/12</f>
        <v/>
      </c>
      <c r="X23" s="42">
        <f>SUM(M21:X21)/12</f>
        <v/>
      </c>
      <c r="Y23" s="42">
        <f>SUM(N21:Y21)/12</f>
        <v/>
      </c>
      <c r="Z23" s="42">
        <f>SUM(O21:Z21)/12</f>
        <v/>
      </c>
      <c r="AA23" s="42">
        <f>SUM(P21:AA21)/12</f>
        <v/>
      </c>
      <c r="AB23" s="42">
        <f>SUM(Q21:AB21)/12</f>
        <v/>
      </c>
      <c r="AC23" s="42">
        <f>SUM(R21:AC21)/12</f>
        <v/>
      </c>
      <c r="AD23" s="42">
        <f>SUM(S21:AD21)/12</f>
        <v/>
      </c>
      <c r="AE23" s="42">
        <f>SUM(T21:AE21)/12</f>
        <v/>
      </c>
      <c r="AF23" s="42">
        <f>SUM(U21:AF21)/12</f>
        <v/>
      </c>
      <c r="AG23" s="42">
        <f>SUM(V21:AG21)/12</f>
        <v/>
      </c>
      <c r="AH23" s="42">
        <f>SUM(W21:AH21)/12</f>
        <v/>
      </c>
      <c r="AI23" s="42">
        <f>SUM(X21:AI21)/12</f>
        <v/>
      </c>
      <c r="AJ23" s="42">
        <f>SUM(Y21:AJ21)/12</f>
        <v/>
      </c>
      <c r="AK23" s="42">
        <f>SUM(Z21:AK21)/12</f>
        <v/>
      </c>
      <c r="AL23" s="42">
        <f>SUM(AA21:AL21)/12</f>
        <v/>
      </c>
      <c r="AN23" s="42">
        <f>SUMIF($O$5:$AL$5,AN$5,$O23:$AL23)</f>
        <v/>
      </c>
      <c r="AO23" s="42">
        <f>SUMIF($O$5:$AL$5,AO$5,$O23:$AL23)</f>
        <v/>
      </c>
    </row>
    <row r="24">
      <c r="A24" s="5" t="inlineStr">
        <is>
          <t>Deferred revenue: opening</t>
        </is>
      </c>
      <c r="B24" s="2" t="inlineStr">
        <is>
          <t>GBP k</t>
        </is>
      </c>
      <c r="O24" s="36">
        <f>N27</f>
        <v/>
      </c>
      <c r="P24" s="36">
        <f>O27</f>
        <v/>
      </c>
      <c r="Q24" s="36">
        <f>P27</f>
        <v/>
      </c>
      <c r="R24" s="36">
        <f>Q27</f>
        <v/>
      </c>
      <c r="S24" s="36">
        <f>R27</f>
        <v/>
      </c>
      <c r="T24" s="36">
        <f>S27</f>
        <v/>
      </c>
      <c r="U24" s="36">
        <f>T27</f>
        <v/>
      </c>
      <c r="V24" s="36">
        <f>U27</f>
        <v/>
      </c>
      <c r="W24" s="36">
        <f>V27</f>
        <v/>
      </c>
      <c r="X24" s="36">
        <f>W27</f>
        <v/>
      </c>
      <c r="Y24" s="36">
        <f>X27</f>
        <v/>
      </c>
      <c r="Z24" s="36">
        <f>Y27</f>
        <v/>
      </c>
      <c r="AA24" s="36">
        <f>Z27</f>
        <v/>
      </c>
      <c r="AB24" s="36">
        <f>AA27</f>
        <v/>
      </c>
      <c r="AC24" s="36">
        <f>AB27</f>
        <v/>
      </c>
      <c r="AD24" s="36">
        <f>AC27</f>
        <v/>
      </c>
      <c r="AE24" s="36">
        <f>AD27</f>
        <v/>
      </c>
      <c r="AF24" s="36">
        <f>AE27</f>
        <v/>
      </c>
      <c r="AG24" s="36">
        <f>AF27</f>
        <v/>
      </c>
      <c r="AH24" s="36">
        <f>AG27</f>
        <v/>
      </c>
      <c r="AI24" s="36">
        <f>AH27</f>
        <v/>
      </c>
      <c r="AJ24" s="36">
        <f>AI27</f>
        <v/>
      </c>
      <c r="AK24" s="36">
        <f>AJ27</f>
        <v/>
      </c>
      <c r="AL24" s="36">
        <f>AK27</f>
        <v/>
      </c>
      <c r="AN24" s="36">
        <f>INDEX($O24:$AL24,1,(AN$5-1)*12+1)</f>
        <v/>
      </c>
      <c r="AO24" s="36">
        <f>INDEX($O24:$AL24,1,(AO$5-1)*12+1)</f>
        <v/>
      </c>
    </row>
    <row r="25">
      <c r="A25" s="5" t="inlineStr">
        <is>
          <t>+ Invoices raised</t>
        </is>
      </c>
      <c r="B25" s="2" t="inlineStr">
        <is>
          <t>GBP k</t>
        </is>
      </c>
      <c r="O25" s="36">
        <f>O21</f>
        <v/>
      </c>
      <c r="P25" s="36">
        <f>P21</f>
        <v/>
      </c>
      <c r="Q25" s="36">
        <f>Q21</f>
        <v/>
      </c>
      <c r="R25" s="36">
        <f>R21</f>
        <v/>
      </c>
      <c r="S25" s="36">
        <f>S21</f>
        <v/>
      </c>
      <c r="T25" s="36">
        <f>T21</f>
        <v/>
      </c>
      <c r="U25" s="36">
        <f>U21</f>
        <v/>
      </c>
      <c r="V25" s="36">
        <f>V21</f>
        <v/>
      </c>
      <c r="W25" s="36">
        <f>W21</f>
        <v/>
      </c>
      <c r="X25" s="36">
        <f>X21</f>
        <v/>
      </c>
      <c r="Y25" s="36">
        <f>Y21</f>
        <v/>
      </c>
      <c r="Z25" s="36">
        <f>Z21</f>
        <v/>
      </c>
      <c r="AA25" s="36">
        <f>AA21</f>
        <v/>
      </c>
      <c r="AB25" s="36">
        <f>AB21</f>
        <v/>
      </c>
      <c r="AC25" s="36">
        <f>AC21</f>
        <v/>
      </c>
      <c r="AD25" s="36">
        <f>AD21</f>
        <v/>
      </c>
      <c r="AE25" s="36">
        <f>AE21</f>
        <v/>
      </c>
      <c r="AF25" s="36">
        <f>AF21</f>
        <v/>
      </c>
      <c r="AG25" s="36">
        <f>AG21</f>
        <v/>
      </c>
      <c r="AH25" s="36">
        <f>AH21</f>
        <v/>
      </c>
      <c r="AI25" s="36">
        <f>AI21</f>
        <v/>
      </c>
      <c r="AJ25" s="36">
        <f>AJ21</f>
        <v/>
      </c>
      <c r="AK25" s="36">
        <f>AK21</f>
        <v/>
      </c>
      <c r="AL25" s="36">
        <f>AL21</f>
        <v/>
      </c>
      <c r="AN25" s="36">
        <f>SUMIF($O$5:$AL$5,AN$5,$O25:$AL25)</f>
        <v/>
      </c>
      <c r="AO25" s="36">
        <f>SUMIF($O$5:$AL$5,AO$5,$O25:$AL25)</f>
        <v/>
      </c>
    </row>
    <row r="26">
      <c r="A26" s="5" t="inlineStr">
        <is>
          <t>- Revenue recognised</t>
        </is>
      </c>
      <c r="B26" s="2" t="inlineStr">
        <is>
          <t>GBP k</t>
        </is>
      </c>
      <c r="O26" s="36">
        <f>-O23</f>
        <v/>
      </c>
      <c r="P26" s="36">
        <f>-P23</f>
        <v/>
      </c>
      <c r="Q26" s="36">
        <f>-Q23</f>
        <v/>
      </c>
      <c r="R26" s="36">
        <f>-R23</f>
        <v/>
      </c>
      <c r="S26" s="36">
        <f>-S23</f>
        <v/>
      </c>
      <c r="T26" s="36">
        <f>-T23</f>
        <v/>
      </c>
      <c r="U26" s="36">
        <f>-U23</f>
        <v/>
      </c>
      <c r="V26" s="36">
        <f>-V23</f>
        <v/>
      </c>
      <c r="W26" s="36">
        <f>-W23</f>
        <v/>
      </c>
      <c r="X26" s="36">
        <f>-X23</f>
        <v/>
      </c>
      <c r="Y26" s="36">
        <f>-Y23</f>
        <v/>
      </c>
      <c r="Z26" s="36">
        <f>-Z23</f>
        <v/>
      </c>
      <c r="AA26" s="36">
        <f>-AA23</f>
        <v/>
      </c>
      <c r="AB26" s="36">
        <f>-AB23</f>
        <v/>
      </c>
      <c r="AC26" s="36">
        <f>-AC23</f>
        <v/>
      </c>
      <c r="AD26" s="36">
        <f>-AD23</f>
        <v/>
      </c>
      <c r="AE26" s="36">
        <f>-AE23</f>
        <v/>
      </c>
      <c r="AF26" s="36">
        <f>-AF23</f>
        <v/>
      </c>
      <c r="AG26" s="36">
        <f>-AG23</f>
        <v/>
      </c>
      <c r="AH26" s="36">
        <f>-AH23</f>
        <v/>
      </c>
      <c r="AI26" s="36">
        <f>-AI23</f>
        <v/>
      </c>
      <c r="AJ26" s="36">
        <f>-AJ23</f>
        <v/>
      </c>
      <c r="AK26" s="36">
        <f>-AK23</f>
        <v/>
      </c>
      <c r="AL26" s="36">
        <f>-AL23</f>
        <v/>
      </c>
      <c r="AN26" s="36">
        <f>SUMIF($O$5:$AL$5,AN$5,$O26:$AL26)</f>
        <v/>
      </c>
      <c r="AO26" s="36">
        <f>SUMIF($O$5:$AL$5,AO$5,$O26:$AL26)</f>
        <v/>
      </c>
    </row>
    <row r="27">
      <c r="A27" s="37" t="inlineStr">
        <is>
          <t>Deferred revenue: closing</t>
        </is>
      </c>
      <c r="B27" s="38" t="inlineStr">
        <is>
          <t>GBP k</t>
        </is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40">
        <f>SUMPRODUCT(C21:N21,C22:N22)</f>
        <v/>
      </c>
      <c r="O27" s="40">
        <f>SUM(O24:O26)</f>
        <v/>
      </c>
      <c r="P27" s="40">
        <f>SUM(P24:P26)</f>
        <v/>
      </c>
      <c r="Q27" s="40">
        <f>SUM(Q24:Q26)</f>
        <v/>
      </c>
      <c r="R27" s="40">
        <f>SUM(R24:R26)</f>
        <v/>
      </c>
      <c r="S27" s="40">
        <f>SUM(S24:S26)</f>
        <v/>
      </c>
      <c r="T27" s="40">
        <f>SUM(T24:T26)</f>
        <v/>
      </c>
      <c r="U27" s="40">
        <f>SUM(U24:U26)</f>
        <v/>
      </c>
      <c r="V27" s="40">
        <f>SUM(V24:V26)</f>
        <v/>
      </c>
      <c r="W27" s="40">
        <f>SUM(W24:W26)</f>
        <v/>
      </c>
      <c r="X27" s="40">
        <f>SUM(X24:X26)</f>
        <v/>
      </c>
      <c r="Y27" s="40">
        <f>SUM(Y24:Y26)</f>
        <v/>
      </c>
      <c r="Z27" s="40">
        <f>SUM(Z24:Z26)</f>
        <v/>
      </c>
      <c r="AA27" s="40">
        <f>SUM(AA24:AA26)</f>
        <v/>
      </c>
      <c r="AB27" s="40">
        <f>SUM(AB24:AB26)</f>
        <v/>
      </c>
      <c r="AC27" s="40">
        <f>SUM(AC24:AC26)</f>
        <v/>
      </c>
      <c r="AD27" s="40">
        <f>SUM(AD24:AD26)</f>
        <v/>
      </c>
      <c r="AE27" s="40">
        <f>SUM(AE24:AE26)</f>
        <v/>
      </c>
      <c r="AF27" s="40">
        <f>SUM(AF24:AF26)</f>
        <v/>
      </c>
      <c r="AG27" s="40">
        <f>SUM(AG24:AG26)</f>
        <v/>
      </c>
      <c r="AH27" s="40">
        <f>SUM(AH24:AH26)</f>
        <v/>
      </c>
      <c r="AI27" s="40">
        <f>SUM(AI24:AI26)</f>
        <v/>
      </c>
      <c r="AJ27" s="40">
        <f>SUM(AJ24:AJ26)</f>
        <v/>
      </c>
      <c r="AK27" s="40">
        <f>SUM(AK24:AK26)</f>
        <v/>
      </c>
      <c r="AL27" s="40">
        <f>SUM(AL24:AL26)</f>
        <v/>
      </c>
      <c r="AM27" s="39" t="n"/>
      <c r="AN27" s="40">
        <f>INDEX($O27:$AL27,1,AN$5*12)</f>
        <v/>
      </c>
      <c r="AO27" s="40">
        <f>INDEX($O27:$AL27,1,AO$5*12)</f>
        <v/>
      </c>
    </row>
    <row r="28">
      <c r="A28" s="5" t="inlineStr">
        <is>
          <t>Trade receivables</t>
        </is>
      </c>
      <c r="B28" s="2" t="inlineStr">
        <is>
          <t>GBP k</t>
        </is>
      </c>
      <c r="N28" s="36">
        <f>inp_v_open_ar</f>
        <v/>
      </c>
      <c r="O28" s="36">
        <f>O21*MIN(1,inp_v_dso/30)+N21*MAX(0,MIN(1,(inp_v_dso-30)/30))</f>
        <v/>
      </c>
      <c r="P28" s="36">
        <f>P21*MIN(1,inp_v_dso/30)+O21*MAX(0,MIN(1,(inp_v_dso-30)/30))</f>
        <v/>
      </c>
      <c r="Q28" s="36">
        <f>Q21*MIN(1,inp_v_dso/30)+P21*MAX(0,MIN(1,(inp_v_dso-30)/30))</f>
        <v/>
      </c>
      <c r="R28" s="36">
        <f>R21*MIN(1,inp_v_dso/30)+Q21*MAX(0,MIN(1,(inp_v_dso-30)/30))</f>
        <v/>
      </c>
      <c r="S28" s="36">
        <f>S21*MIN(1,inp_v_dso/30)+R21*MAX(0,MIN(1,(inp_v_dso-30)/30))</f>
        <v/>
      </c>
      <c r="T28" s="36">
        <f>T21*MIN(1,inp_v_dso/30)+S21*MAX(0,MIN(1,(inp_v_dso-30)/30))</f>
        <v/>
      </c>
      <c r="U28" s="36">
        <f>U21*MIN(1,inp_v_dso/30)+T21*MAX(0,MIN(1,(inp_v_dso-30)/30))</f>
        <v/>
      </c>
      <c r="V28" s="36">
        <f>V21*MIN(1,inp_v_dso/30)+U21*MAX(0,MIN(1,(inp_v_dso-30)/30))</f>
        <v/>
      </c>
      <c r="W28" s="36">
        <f>W21*MIN(1,inp_v_dso/30)+V21*MAX(0,MIN(1,(inp_v_dso-30)/30))</f>
        <v/>
      </c>
      <c r="X28" s="36">
        <f>X21*MIN(1,inp_v_dso/30)+W21*MAX(0,MIN(1,(inp_v_dso-30)/30))</f>
        <v/>
      </c>
      <c r="Y28" s="36">
        <f>Y21*MIN(1,inp_v_dso/30)+X21*MAX(0,MIN(1,(inp_v_dso-30)/30))</f>
        <v/>
      </c>
      <c r="Z28" s="36">
        <f>Z21*MIN(1,inp_v_dso/30)+Y21*MAX(0,MIN(1,(inp_v_dso-30)/30))</f>
        <v/>
      </c>
      <c r="AA28" s="36">
        <f>AA21*MIN(1,inp_v_dso/30)+Z21*MAX(0,MIN(1,(inp_v_dso-30)/30))</f>
        <v/>
      </c>
      <c r="AB28" s="36">
        <f>AB21*MIN(1,inp_v_dso/30)+AA21*MAX(0,MIN(1,(inp_v_dso-30)/30))</f>
        <v/>
      </c>
      <c r="AC28" s="36">
        <f>AC21*MIN(1,inp_v_dso/30)+AB21*MAX(0,MIN(1,(inp_v_dso-30)/30))</f>
        <v/>
      </c>
      <c r="AD28" s="36">
        <f>AD21*MIN(1,inp_v_dso/30)+AC21*MAX(0,MIN(1,(inp_v_dso-30)/30))</f>
        <v/>
      </c>
      <c r="AE28" s="36">
        <f>AE21*MIN(1,inp_v_dso/30)+AD21*MAX(0,MIN(1,(inp_v_dso-30)/30))</f>
        <v/>
      </c>
      <c r="AF28" s="36">
        <f>AF21*MIN(1,inp_v_dso/30)+AE21*MAX(0,MIN(1,(inp_v_dso-30)/30))</f>
        <v/>
      </c>
      <c r="AG28" s="36">
        <f>AG21*MIN(1,inp_v_dso/30)+AF21*MAX(0,MIN(1,(inp_v_dso-30)/30))</f>
        <v/>
      </c>
      <c r="AH28" s="36">
        <f>AH21*MIN(1,inp_v_dso/30)+AG21*MAX(0,MIN(1,(inp_v_dso-30)/30))</f>
        <v/>
      </c>
      <c r="AI28" s="36">
        <f>AI21*MIN(1,inp_v_dso/30)+AH21*MAX(0,MIN(1,(inp_v_dso-30)/30))</f>
        <v/>
      </c>
      <c r="AJ28" s="36">
        <f>AJ21*MIN(1,inp_v_dso/30)+AI21*MAX(0,MIN(1,(inp_v_dso-30)/30))</f>
        <v/>
      </c>
      <c r="AK28" s="36">
        <f>AK21*MIN(1,inp_v_dso/30)+AJ21*MAX(0,MIN(1,(inp_v_dso-30)/30))</f>
        <v/>
      </c>
      <c r="AL28" s="36">
        <f>AL21*MIN(1,inp_v_dso/30)+AK21*MAX(0,MIN(1,(inp_v_dso-30)/30))</f>
        <v/>
      </c>
      <c r="AN28" s="36">
        <f>INDEX($O28:$AL28,1,AN$5*12)</f>
        <v/>
      </c>
      <c r="AO28" s="36">
        <f>INDEX($O28:$AL28,1,AO$5*12)</f>
        <v/>
      </c>
    </row>
    <row r="30">
      <c r="A30" s="13" t="inlineStr">
        <is>
          <t>Income statement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5" t="inlineStr">
        <is>
          <t>Cost of revenue</t>
        </is>
      </c>
      <c r="B31" s="2" t="inlineStr">
        <is>
          <t>GBP k</t>
        </is>
      </c>
      <c r="O31" s="36">
        <f>O23*inp_v_cogs_pct</f>
        <v/>
      </c>
      <c r="P31" s="36">
        <f>P23*inp_v_cogs_pct</f>
        <v/>
      </c>
      <c r="Q31" s="36">
        <f>Q23*inp_v_cogs_pct</f>
        <v/>
      </c>
      <c r="R31" s="36">
        <f>R23*inp_v_cogs_pct</f>
        <v/>
      </c>
      <c r="S31" s="36">
        <f>S23*inp_v_cogs_pct</f>
        <v/>
      </c>
      <c r="T31" s="36">
        <f>T23*inp_v_cogs_pct</f>
        <v/>
      </c>
      <c r="U31" s="36">
        <f>U23*inp_v_cogs_pct</f>
        <v/>
      </c>
      <c r="V31" s="36">
        <f>V23*inp_v_cogs_pct</f>
        <v/>
      </c>
      <c r="W31" s="36">
        <f>W23*inp_v_cogs_pct</f>
        <v/>
      </c>
      <c r="X31" s="36">
        <f>X23*inp_v_cogs_pct</f>
        <v/>
      </c>
      <c r="Y31" s="36">
        <f>Y23*inp_v_cogs_pct</f>
        <v/>
      </c>
      <c r="Z31" s="36">
        <f>Z23*inp_v_cogs_pct</f>
        <v/>
      </c>
      <c r="AA31" s="36">
        <f>AA23*inp_v_cogs_pct</f>
        <v/>
      </c>
      <c r="AB31" s="36">
        <f>AB23*inp_v_cogs_pct</f>
        <v/>
      </c>
      <c r="AC31" s="36">
        <f>AC23*inp_v_cogs_pct</f>
        <v/>
      </c>
      <c r="AD31" s="36">
        <f>AD23*inp_v_cogs_pct</f>
        <v/>
      </c>
      <c r="AE31" s="36">
        <f>AE23*inp_v_cogs_pct</f>
        <v/>
      </c>
      <c r="AF31" s="36">
        <f>AF23*inp_v_cogs_pct</f>
        <v/>
      </c>
      <c r="AG31" s="36">
        <f>AG23*inp_v_cogs_pct</f>
        <v/>
      </c>
      <c r="AH31" s="36">
        <f>AH23*inp_v_cogs_pct</f>
        <v/>
      </c>
      <c r="AI31" s="36">
        <f>AI23*inp_v_cogs_pct</f>
        <v/>
      </c>
      <c r="AJ31" s="36">
        <f>AJ23*inp_v_cogs_pct</f>
        <v/>
      </c>
      <c r="AK31" s="36">
        <f>AK23*inp_v_cogs_pct</f>
        <v/>
      </c>
      <c r="AL31" s="36">
        <f>AL23*inp_v_cogs_pct</f>
        <v/>
      </c>
      <c r="AN31" s="36">
        <f>SUMIF($O$5:$AL$5,AN$5,$O31:$AL31)</f>
        <v/>
      </c>
      <c r="AO31" s="36">
        <f>SUMIF($O$5:$AL$5,AO$5,$O31:$AL31)</f>
        <v/>
      </c>
    </row>
    <row r="32">
      <c r="A32" s="3" t="inlineStr">
        <is>
          <t>Gross profit</t>
        </is>
      </c>
      <c r="B32" s="2" t="inlineStr">
        <is>
          <t>GBP k</t>
        </is>
      </c>
      <c r="O32" s="42">
        <f>O23-O31</f>
        <v/>
      </c>
      <c r="P32" s="42">
        <f>P23-P31</f>
        <v/>
      </c>
      <c r="Q32" s="42">
        <f>Q23-Q31</f>
        <v/>
      </c>
      <c r="R32" s="42">
        <f>R23-R31</f>
        <v/>
      </c>
      <c r="S32" s="42">
        <f>S23-S31</f>
        <v/>
      </c>
      <c r="T32" s="42">
        <f>T23-T31</f>
        <v/>
      </c>
      <c r="U32" s="42">
        <f>U23-U31</f>
        <v/>
      </c>
      <c r="V32" s="42">
        <f>V23-V31</f>
        <v/>
      </c>
      <c r="W32" s="42">
        <f>W23-W31</f>
        <v/>
      </c>
      <c r="X32" s="42">
        <f>X23-X31</f>
        <v/>
      </c>
      <c r="Y32" s="42">
        <f>Y23-Y31</f>
        <v/>
      </c>
      <c r="Z32" s="42">
        <f>Z23-Z31</f>
        <v/>
      </c>
      <c r="AA32" s="42">
        <f>AA23-AA31</f>
        <v/>
      </c>
      <c r="AB32" s="42">
        <f>AB23-AB31</f>
        <v/>
      </c>
      <c r="AC32" s="42">
        <f>AC23-AC31</f>
        <v/>
      </c>
      <c r="AD32" s="42">
        <f>AD23-AD31</f>
        <v/>
      </c>
      <c r="AE32" s="42">
        <f>AE23-AE31</f>
        <v/>
      </c>
      <c r="AF32" s="42">
        <f>AF23-AF31</f>
        <v/>
      </c>
      <c r="AG32" s="42">
        <f>AG23-AG31</f>
        <v/>
      </c>
      <c r="AH32" s="42">
        <f>AH23-AH31</f>
        <v/>
      </c>
      <c r="AI32" s="42">
        <f>AI23-AI31</f>
        <v/>
      </c>
      <c r="AJ32" s="42">
        <f>AJ23-AJ31</f>
        <v/>
      </c>
      <c r="AK32" s="42">
        <f>AK23-AK31</f>
        <v/>
      </c>
      <c r="AL32" s="42">
        <f>AL23-AL31</f>
        <v/>
      </c>
      <c r="AN32" s="42">
        <f>SUMIF($O$5:$AL$5,AN$5,$O32:$AL32)</f>
        <v/>
      </c>
      <c r="AO32" s="42">
        <f>SUMIF($O$5:$AL$5,AO$5,$O32:$AL32)</f>
        <v/>
      </c>
    </row>
    <row r="33">
      <c r="A33" s="5" t="inlineStr">
        <is>
          <t>R&amp;D</t>
        </is>
      </c>
      <c r="B33" s="2" t="inlineStr">
        <is>
          <t>GBP k</t>
        </is>
      </c>
      <c r="O33" s="36">
        <f>O23*inp_v_rd_pct</f>
        <v/>
      </c>
      <c r="P33" s="36">
        <f>P23*inp_v_rd_pct</f>
        <v/>
      </c>
      <c r="Q33" s="36">
        <f>Q23*inp_v_rd_pct</f>
        <v/>
      </c>
      <c r="R33" s="36">
        <f>R23*inp_v_rd_pct</f>
        <v/>
      </c>
      <c r="S33" s="36">
        <f>S23*inp_v_rd_pct</f>
        <v/>
      </c>
      <c r="T33" s="36">
        <f>T23*inp_v_rd_pct</f>
        <v/>
      </c>
      <c r="U33" s="36">
        <f>U23*inp_v_rd_pct</f>
        <v/>
      </c>
      <c r="V33" s="36">
        <f>V23*inp_v_rd_pct</f>
        <v/>
      </c>
      <c r="W33" s="36">
        <f>W23*inp_v_rd_pct</f>
        <v/>
      </c>
      <c r="X33" s="36">
        <f>X23*inp_v_rd_pct</f>
        <v/>
      </c>
      <c r="Y33" s="36">
        <f>Y23*inp_v_rd_pct</f>
        <v/>
      </c>
      <c r="Z33" s="36">
        <f>Z23*inp_v_rd_pct</f>
        <v/>
      </c>
      <c r="AA33" s="36">
        <f>AA23*inp_v_rd_pct</f>
        <v/>
      </c>
      <c r="AB33" s="36">
        <f>AB23*inp_v_rd_pct</f>
        <v/>
      </c>
      <c r="AC33" s="36">
        <f>AC23*inp_v_rd_pct</f>
        <v/>
      </c>
      <c r="AD33" s="36">
        <f>AD23*inp_v_rd_pct</f>
        <v/>
      </c>
      <c r="AE33" s="36">
        <f>AE23*inp_v_rd_pct</f>
        <v/>
      </c>
      <c r="AF33" s="36">
        <f>AF23*inp_v_rd_pct</f>
        <v/>
      </c>
      <c r="AG33" s="36">
        <f>AG23*inp_v_rd_pct</f>
        <v/>
      </c>
      <c r="AH33" s="36">
        <f>AH23*inp_v_rd_pct</f>
        <v/>
      </c>
      <c r="AI33" s="36">
        <f>AI23*inp_v_rd_pct</f>
        <v/>
      </c>
      <c r="AJ33" s="36">
        <f>AJ23*inp_v_rd_pct</f>
        <v/>
      </c>
      <c r="AK33" s="36">
        <f>AK23*inp_v_rd_pct</f>
        <v/>
      </c>
      <c r="AL33" s="36">
        <f>AL23*inp_v_rd_pct</f>
        <v/>
      </c>
      <c r="AN33" s="36">
        <f>SUMIF($O$5:$AL$5,AN$5,$O33:$AL33)</f>
        <v/>
      </c>
      <c r="AO33" s="36">
        <f>SUMIF($O$5:$AL$5,AO$5,$O33:$AL33)</f>
        <v/>
      </c>
    </row>
    <row r="34">
      <c r="A34" s="5" t="inlineStr">
        <is>
          <t>Sales &amp; marketing</t>
        </is>
      </c>
      <c r="B34" s="2" t="inlineStr">
        <is>
          <t>GBP k</t>
        </is>
      </c>
      <c r="O34" s="36">
        <f>O23*inp_v_sm_pct</f>
        <v/>
      </c>
      <c r="P34" s="36">
        <f>P23*inp_v_sm_pct</f>
        <v/>
      </c>
      <c r="Q34" s="36">
        <f>Q23*inp_v_sm_pct</f>
        <v/>
      </c>
      <c r="R34" s="36">
        <f>R23*inp_v_sm_pct</f>
        <v/>
      </c>
      <c r="S34" s="36">
        <f>S23*inp_v_sm_pct</f>
        <v/>
      </c>
      <c r="T34" s="36">
        <f>T23*inp_v_sm_pct</f>
        <v/>
      </c>
      <c r="U34" s="36">
        <f>U23*inp_v_sm_pct</f>
        <v/>
      </c>
      <c r="V34" s="36">
        <f>V23*inp_v_sm_pct</f>
        <v/>
      </c>
      <c r="W34" s="36">
        <f>W23*inp_v_sm_pct</f>
        <v/>
      </c>
      <c r="X34" s="36">
        <f>X23*inp_v_sm_pct</f>
        <v/>
      </c>
      <c r="Y34" s="36">
        <f>Y23*inp_v_sm_pct</f>
        <v/>
      </c>
      <c r="Z34" s="36">
        <f>Z23*inp_v_sm_pct</f>
        <v/>
      </c>
      <c r="AA34" s="36">
        <f>AA23*inp_v_sm_pct</f>
        <v/>
      </c>
      <c r="AB34" s="36">
        <f>AB23*inp_v_sm_pct</f>
        <v/>
      </c>
      <c r="AC34" s="36">
        <f>AC23*inp_v_sm_pct</f>
        <v/>
      </c>
      <c r="AD34" s="36">
        <f>AD23*inp_v_sm_pct</f>
        <v/>
      </c>
      <c r="AE34" s="36">
        <f>AE23*inp_v_sm_pct</f>
        <v/>
      </c>
      <c r="AF34" s="36">
        <f>AF23*inp_v_sm_pct</f>
        <v/>
      </c>
      <c r="AG34" s="36">
        <f>AG23*inp_v_sm_pct</f>
        <v/>
      </c>
      <c r="AH34" s="36">
        <f>AH23*inp_v_sm_pct</f>
        <v/>
      </c>
      <c r="AI34" s="36">
        <f>AI23*inp_v_sm_pct</f>
        <v/>
      </c>
      <c r="AJ34" s="36">
        <f>AJ23*inp_v_sm_pct</f>
        <v/>
      </c>
      <c r="AK34" s="36">
        <f>AK23*inp_v_sm_pct</f>
        <v/>
      </c>
      <c r="AL34" s="36">
        <f>AL23*inp_v_sm_pct</f>
        <v/>
      </c>
      <c r="AN34" s="36">
        <f>SUMIF($O$5:$AL$5,AN$5,$O34:$AL34)</f>
        <v/>
      </c>
      <c r="AO34" s="36">
        <f>SUMIF($O$5:$AL$5,AO$5,$O34:$AL34)</f>
        <v/>
      </c>
    </row>
    <row r="35">
      <c r="A35" s="5" t="inlineStr">
        <is>
          <t>G&amp;A</t>
        </is>
      </c>
      <c r="B35" s="2" t="inlineStr">
        <is>
          <t>GBP k</t>
        </is>
      </c>
      <c r="O35" s="36">
        <f>O23*inp_v_ga_pct</f>
        <v/>
      </c>
      <c r="P35" s="36">
        <f>P23*inp_v_ga_pct</f>
        <v/>
      </c>
      <c r="Q35" s="36">
        <f>Q23*inp_v_ga_pct</f>
        <v/>
      </c>
      <c r="R35" s="36">
        <f>R23*inp_v_ga_pct</f>
        <v/>
      </c>
      <c r="S35" s="36">
        <f>S23*inp_v_ga_pct</f>
        <v/>
      </c>
      <c r="T35" s="36">
        <f>T23*inp_v_ga_pct</f>
        <v/>
      </c>
      <c r="U35" s="36">
        <f>U23*inp_v_ga_pct</f>
        <v/>
      </c>
      <c r="V35" s="36">
        <f>V23*inp_v_ga_pct</f>
        <v/>
      </c>
      <c r="W35" s="36">
        <f>W23*inp_v_ga_pct</f>
        <v/>
      </c>
      <c r="X35" s="36">
        <f>X23*inp_v_ga_pct</f>
        <v/>
      </c>
      <c r="Y35" s="36">
        <f>Y23*inp_v_ga_pct</f>
        <v/>
      </c>
      <c r="Z35" s="36">
        <f>Z23*inp_v_ga_pct</f>
        <v/>
      </c>
      <c r="AA35" s="36">
        <f>AA23*inp_v_ga_pct</f>
        <v/>
      </c>
      <c r="AB35" s="36">
        <f>AB23*inp_v_ga_pct</f>
        <v/>
      </c>
      <c r="AC35" s="36">
        <f>AC23*inp_v_ga_pct</f>
        <v/>
      </c>
      <c r="AD35" s="36">
        <f>AD23*inp_v_ga_pct</f>
        <v/>
      </c>
      <c r="AE35" s="36">
        <f>AE23*inp_v_ga_pct</f>
        <v/>
      </c>
      <c r="AF35" s="36">
        <f>AF23*inp_v_ga_pct</f>
        <v/>
      </c>
      <c r="AG35" s="36">
        <f>AG23*inp_v_ga_pct</f>
        <v/>
      </c>
      <c r="AH35" s="36">
        <f>AH23*inp_v_ga_pct</f>
        <v/>
      </c>
      <c r="AI35" s="36">
        <f>AI23*inp_v_ga_pct</f>
        <v/>
      </c>
      <c r="AJ35" s="36">
        <f>AJ23*inp_v_ga_pct</f>
        <v/>
      </c>
      <c r="AK35" s="36">
        <f>AK23*inp_v_ga_pct</f>
        <v/>
      </c>
      <c r="AL35" s="36">
        <f>AL23*inp_v_ga_pct</f>
        <v/>
      </c>
      <c r="AN35" s="36">
        <f>SUMIF($O$5:$AL$5,AN$5,$O35:$AL35)</f>
        <v/>
      </c>
      <c r="AO35" s="36">
        <f>SUMIF($O$5:$AL$5,AO$5,$O35:$AL35)</f>
        <v/>
      </c>
    </row>
    <row r="36">
      <c r="A36" s="37" t="inlineStr">
        <is>
          <t>EBITDA</t>
        </is>
      </c>
      <c r="B36" s="38" t="inlineStr">
        <is>
          <t>GBP k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40">
        <f>O32-O33-O34-O35</f>
        <v/>
      </c>
      <c r="P36" s="40">
        <f>P32-P33-P34-P35</f>
        <v/>
      </c>
      <c r="Q36" s="40">
        <f>Q32-Q33-Q34-Q35</f>
        <v/>
      </c>
      <c r="R36" s="40">
        <f>R32-R33-R34-R35</f>
        <v/>
      </c>
      <c r="S36" s="40">
        <f>S32-S33-S34-S35</f>
        <v/>
      </c>
      <c r="T36" s="40">
        <f>T32-T33-T34-T35</f>
        <v/>
      </c>
      <c r="U36" s="40">
        <f>U32-U33-U34-U35</f>
        <v/>
      </c>
      <c r="V36" s="40">
        <f>V32-V33-V34-V35</f>
        <v/>
      </c>
      <c r="W36" s="40">
        <f>W32-W33-W34-W35</f>
        <v/>
      </c>
      <c r="X36" s="40">
        <f>X32-X33-X34-X35</f>
        <v/>
      </c>
      <c r="Y36" s="40">
        <f>Y32-Y33-Y34-Y35</f>
        <v/>
      </c>
      <c r="Z36" s="40">
        <f>Z32-Z33-Z34-Z35</f>
        <v/>
      </c>
      <c r="AA36" s="40">
        <f>AA32-AA33-AA34-AA35</f>
        <v/>
      </c>
      <c r="AB36" s="40">
        <f>AB32-AB33-AB34-AB35</f>
        <v/>
      </c>
      <c r="AC36" s="40">
        <f>AC32-AC33-AC34-AC35</f>
        <v/>
      </c>
      <c r="AD36" s="40">
        <f>AD32-AD33-AD34-AD35</f>
        <v/>
      </c>
      <c r="AE36" s="40">
        <f>AE32-AE33-AE34-AE35</f>
        <v/>
      </c>
      <c r="AF36" s="40">
        <f>AF32-AF33-AF34-AF35</f>
        <v/>
      </c>
      <c r="AG36" s="40">
        <f>AG32-AG33-AG34-AG35</f>
        <v/>
      </c>
      <c r="AH36" s="40">
        <f>AH32-AH33-AH34-AH35</f>
        <v/>
      </c>
      <c r="AI36" s="40">
        <f>AI32-AI33-AI34-AI35</f>
        <v/>
      </c>
      <c r="AJ36" s="40">
        <f>AJ32-AJ33-AJ34-AJ35</f>
        <v/>
      </c>
      <c r="AK36" s="40">
        <f>AK32-AK33-AK34-AK35</f>
        <v/>
      </c>
      <c r="AL36" s="40">
        <f>AL32-AL33-AL34-AL35</f>
        <v/>
      </c>
      <c r="AM36" s="39" t="n"/>
      <c r="AN36" s="40">
        <f>SUMIF($O$5:$AL$5,AN$5,$O36:$AL36)</f>
        <v/>
      </c>
      <c r="AO36" s="40">
        <f>SUMIF($O$5:$AL$5,AO$5,$O36:$AL36)</f>
        <v/>
      </c>
    </row>
    <row r="37">
      <c r="A37" s="5" t="inlineStr">
        <is>
          <t>EBITDA margin</t>
        </is>
      </c>
      <c r="B37" s="2" t="inlineStr">
        <is>
          <t>%</t>
        </is>
      </c>
      <c r="O37" s="35">
        <f>O36/O23</f>
        <v/>
      </c>
      <c r="P37" s="35">
        <f>P36/P23</f>
        <v/>
      </c>
      <c r="Q37" s="35">
        <f>Q36/Q23</f>
        <v/>
      </c>
      <c r="R37" s="35">
        <f>R36/R23</f>
        <v/>
      </c>
      <c r="S37" s="35">
        <f>S36/S23</f>
        <v/>
      </c>
      <c r="T37" s="35">
        <f>T36/T23</f>
        <v/>
      </c>
      <c r="U37" s="35">
        <f>U36/U23</f>
        <v/>
      </c>
      <c r="V37" s="35">
        <f>V36/V23</f>
        <v/>
      </c>
      <c r="W37" s="35">
        <f>W36/W23</f>
        <v/>
      </c>
      <c r="X37" s="35">
        <f>X36/X23</f>
        <v/>
      </c>
      <c r="Y37" s="35">
        <f>Y36/Y23</f>
        <v/>
      </c>
      <c r="Z37" s="35">
        <f>Z36/Z23</f>
        <v/>
      </c>
      <c r="AA37" s="35">
        <f>AA36/AA23</f>
        <v/>
      </c>
      <c r="AB37" s="35">
        <f>AB36/AB23</f>
        <v/>
      </c>
      <c r="AC37" s="35">
        <f>AC36/AC23</f>
        <v/>
      </c>
      <c r="AD37" s="35">
        <f>AD36/AD23</f>
        <v/>
      </c>
      <c r="AE37" s="35">
        <f>AE36/AE23</f>
        <v/>
      </c>
      <c r="AF37" s="35">
        <f>AF36/AF23</f>
        <v/>
      </c>
      <c r="AG37" s="35">
        <f>AG36/AG23</f>
        <v/>
      </c>
      <c r="AH37" s="35">
        <f>AH36/AH23</f>
        <v/>
      </c>
      <c r="AI37" s="35">
        <f>AI36/AI23</f>
        <v/>
      </c>
      <c r="AJ37" s="35">
        <f>AJ36/AJ23</f>
        <v/>
      </c>
      <c r="AK37" s="35">
        <f>AK36/AK23</f>
        <v/>
      </c>
      <c r="AL37" s="35">
        <f>AL36/AL23</f>
        <v/>
      </c>
      <c r="AN37" s="35">
        <f>AN36/AN23</f>
        <v/>
      </c>
      <c r="AO37" s="35">
        <f>AO36/AO23</f>
        <v/>
      </c>
    </row>
    <row r="38">
      <c r="A38" s="5" t="inlineStr">
        <is>
          <t>Depreciation</t>
        </is>
      </c>
      <c r="B38" s="2" t="inlineStr">
        <is>
          <t>GBP k</t>
        </is>
      </c>
      <c r="O38" s="36">
        <f>O45/inp_v_dep_life</f>
        <v/>
      </c>
      <c r="P38" s="36">
        <f>P45/inp_v_dep_life</f>
        <v/>
      </c>
      <c r="Q38" s="36">
        <f>Q45/inp_v_dep_life</f>
        <v/>
      </c>
      <c r="R38" s="36">
        <f>R45/inp_v_dep_life</f>
        <v/>
      </c>
      <c r="S38" s="36">
        <f>S45/inp_v_dep_life</f>
        <v/>
      </c>
      <c r="T38" s="36">
        <f>T45/inp_v_dep_life</f>
        <v/>
      </c>
      <c r="U38" s="36">
        <f>U45/inp_v_dep_life</f>
        <v/>
      </c>
      <c r="V38" s="36">
        <f>V45/inp_v_dep_life</f>
        <v/>
      </c>
      <c r="W38" s="36">
        <f>W45/inp_v_dep_life</f>
        <v/>
      </c>
      <c r="X38" s="36">
        <f>X45/inp_v_dep_life</f>
        <v/>
      </c>
      <c r="Y38" s="36">
        <f>Y45/inp_v_dep_life</f>
        <v/>
      </c>
      <c r="Z38" s="36">
        <f>Z45/inp_v_dep_life</f>
        <v/>
      </c>
      <c r="AA38" s="36">
        <f>AA45/inp_v_dep_life</f>
        <v/>
      </c>
      <c r="AB38" s="36">
        <f>AB45/inp_v_dep_life</f>
        <v/>
      </c>
      <c r="AC38" s="36">
        <f>AC45/inp_v_dep_life</f>
        <v/>
      </c>
      <c r="AD38" s="36">
        <f>AD45/inp_v_dep_life</f>
        <v/>
      </c>
      <c r="AE38" s="36">
        <f>AE45/inp_v_dep_life</f>
        <v/>
      </c>
      <c r="AF38" s="36">
        <f>AF45/inp_v_dep_life</f>
        <v/>
      </c>
      <c r="AG38" s="36">
        <f>AG45/inp_v_dep_life</f>
        <v/>
      </c>
      <c r="AH38" s="36">
        <f>AH45/inp_v_dep_life</f>
        <v/>
      </c>
      <c r="AI38" s="36">
        <f>AI45/inp_v_dep_life</f>
        <v/>
      </c>
      <c r="AJ38" s="36">
        <f>AJ45/inp_v_dep_life</f>
        <v/>
      </c>
      <c r="AK38" s="36">
        <f>AK45/inp_v_dep_life</f>
        <v/>
      </c>
      <c r="AL38" s="36">
        <f>AL45/inp_v_dep_life</f>
        <v/>
      </c>
      <c r="AN38" s="36">
        <f>SUMIF($O$5:$AL$5,AN$5,$O38:$AL38)</f>
        <v/>
      </c>
      <c r="AO38" s="36">
        <f>SUMIF($O$5:$AL$5,AO$5,$O38:$AL38)</f>
        <v/>
      </c>
    </row>
    <row r="39">
      <c r="A39" s="5" t="inlineStr">
        <is>
          <t>Interest income (prior-period cash)</t>
        </is>
      </c>
      <c r="B39" s="2" t="inlineStr">
        <is>
          <t>GBP k</t>
        </is>
      </c>
      <c r="O39" s="36">
        <f>N51*inp_interest/12</f>
        <v/>
      </c>
      <c r="P39" s="36">
        <f>O51*inp_interest/12</f>
        <v/>
      </c>
      <c r="Q39" s="36">
        <f>P51*inp_interest/12</f>
        <v/>
      </c>
      <c r="R39" s="36">
        <f>Q51*inp_interest/12</f>
        <v/>
      </c>
      <c r="S39" s="36">
        <f>R51*inp_interest/12</f>
        <v/>
      </c>
      <c r="T39" s="36">
        <f>S51*inp_interest/12</f>
        <v/>
      </c>
      <c r="U39" s="36">
        <f>T51*inp_interest/12</f>
        <v/>
      </c>
      <c r="V39" s="36">
        <f>U51*inp_interest/12</f>
        <v/>
      </c>
      <c r="W39" s="36">
        <f>V51*inp_interest/12</f>
        <v/>
      </c>
      <c r="X39" s="36">
        <f>W51*inp_interest/12</f>
        <v/>
      </c>
      <c r="Y39" s="36">
        <f>X51*inp_interest/12</f>
        <v/>
      </c>
      <c r="Z39" s="36">
        <f>Y51*inp_interest/12</f>
        <v/>
      </c>
      <c r="AA39" s="36">
        <f>Z51*inp_interest/12</f>
        <v/>
      </c>
      <c r="AB39" s="36">
        <f>AA51*inp_interest/12</f>
        <v/>
      </c>
      <c r="AC39" s="36">
        <f>AB51*inp_interest/12</f>
        <v/>
      </c>
      <c r="AD39" s="36">
        <f>AC51*inp_interest/12</f>
        <v/>
      </c>
      <c r="AE39" s="36">
        <f>AD51*inp_interest/12</f>
        <v/>
      </c>
      <c r="AF39" s="36">
        <f>AE51*inp_interest/12</f>
        <v/>
      </c>
      <c r="AG39" s="36">
        <f>AF51*inp_interest/12</f>
        <v/>
      </c>
      <c r="AH39" s="36">
        <f>AG51*inp_interest/12</f>
        <v/>
      </c>
      <c r="AI39" s="36">
        <f>AH51*inp_interest/12</f>
        <v/>
      </c>
      <c r="AJ39" s="36">
        <f>AI51*inp_interest/12</f>
        <v/>
      </c>
      <c r="AK39" s="36">
        <f>AJ51*inp_interest/12</f>
        <v/>
      </c>
      <c r="AL39" s="36">
        <f>AK51*inp_interest/12</f>
        <v/>
      </c>
      <c r="AN39" s="36">
        <f>SUMIF($O$5:$AL$5,AN$5,$O39:$AL39)</f>
        <v/>
      </c>
      <c r="AO39" s="36">
        <f>SUMIF($O$5:$AL$5,AO$5,$O39:$AL39)</f>
        <v/>
      </c>
    </row>
    <row r="40">
      <c r="A40" s="71" t="inlineStr">
        <is>
          <t>Profit before tax</t>
        </is>
      </c>
      <c r="B40" s="38" t="inlineStr">
        <is>
          <t>GBP k</t>
        </is>
      </c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72">
        <f>O36-O38+O39</f>
        <v/>
      </c>
      <c r="P40" s="72">
        <f>P36-P38+P39</f>
        <v/>
      </c>
      <c r="Q40" s="72">
        <f>Q36-Q38+Q39</f>
        <v/>
      </c>
      <c r="R40" s="72">
        <f>R36-R38+R39</f>
        <v/>
      </c>
      <c r="S40" s="72">
        <f>S36-S38+S39</f>
        <v/>
      </c>
      <c r="T40" s="72">
        <f>T36-T38+T39</f>
        <v/>
      </c>
      <c r="U40" s="72">
        <f>U36-U38+U39</f>
        <v/>
      </c>
      <c r="V40" s="72">
        <f>V36-V38+V39</f>
        <v/>
      </c>
      <c r="W40" s="72">
        <f>W36-W38+W39</f>
        <v/>
      </c>
      <c r="X40" s="72">
        <f>X36-X38+X39</f>
        <v/>
      </c>
      <c r="Y40" s="72">
        <f>Y36-Y38+Y39</f>
        <v/>
      </c>
      <c r="Z40" s="72">
        <f>Z36-Z38+Z39</f>
        <v/>
      </c>
      <c r="AA40" s="72">
        <f>AA36-AA38+AA39</f>
        <v/>
      </c>
      <c r="AB40" s="72">
        <f>AB36-AB38+AB39</f>
        <v/>
      </c>
      <c r="AC40" s="72">
        <f>AC36-AC38+AC39</f>
        <v/>
      </c>
      <c r="AD40" s="72">
        <f>AD36-AD38+AD39</f>
        <v/>
      </c>
      <c r="AE40" s="72">
        <f>AE36-AE38+AE39</f>
        <v/>
      </c>
      <c r="AF40" s="72">
        <f>AF36-AF38+AF39</f>
        <v/>
      </c>
      <c r="AG40" s="72">
        <f>AG36-AG38+AG39</f>
        <v/>
      </c>
      <c r="AH40" s="72">
        <f>AH36-AH38+AH39</f>
        <v/>
      </c>
      <c r="AI40" s="72">
        <f>AI36-AI38+AI39</f>
        <v/>
      </c>
      <c r="AJ40" s="72">
        <f>AJ36-AJ38+AJ39</f>
        <v/>
      </c>
      <c r="AK40" s="72">
        <f>AK36-AK38+AK39</f>
        <v/>
      </c>
      <c r="AL40" s="72">
        <f>AL36-AL38+AL39</f>
        <v/>
      </c>
      <c r="AM40" s="39" t="n"/>
      <c r="AN40" s="72">
        <f>SUMIF($O$5:$AL$5,AN$5,$O40:$AL40)</f>
        <v/>
      </c>
      <c r="AO40" s="72">
        <f>SUMIF($O$5:$AL$5,AO$5,$O40:$AL40)</f>
        <v/>
      </c>
    </row>
    <row r="41">
      <c r="A41" s="5" t="inlineStr">
        <is>
          <t>Tax</t>
        </is>
      </c>
      <c r="B41" s="2" t="inlineStr">
        <is>
          <t>GBP k</t>
        </is>
      </c>
      <c r="O41" s="36">
        <f>MAX(0,O40)*inp_tax</f>
        <v/>
      </c>
      <c r="P41" s="36">
        <f>MAX(0,P40)*inp_tax</f>
        <v/>
      </c>
      <c r="Q41" s="36">
        <f>MAX(0,Q40)*inp_tax</f>
        <v/>
      </c>
      <c r="R41" s="36">
        <f>MAX(0,R40)*inp_tax</f>
        <v/>
      </c>
      <c r="S41" s="36">
        <f>MAX(0,S40)*inp_tax</f>
        <v/>
      </c>
      <c r="T41" s="36">
        <f>MAX(0,T40)*inp_tax</f>
        <v/>
      </c>
      <c r="U41" s="36">
        <f>MAX(0,U40)*inp_tax</f>
        <v/>
      </c>
      <c r="V41" s="36">
        <f>MAX(0,V40)*inp_tax</f>
        <v/>
      </c>
      <c r="W41" s="36">
        <f>MAX(0,W40)*inp_tax</f>
        <v/>
      </c>
      <c r="X41" s="36">
        <f>MAX(0,X40)*inp_tax</f>
        <v/>
      </c>
      <c r="Y41" s="36">
        <f>MAX(0,Y40)*inp_tax</f>
        <v/>
      </c>
      <c r="Z41" s="36">
        <f>MAX(0,Z40)*inp_tax</f>
        <v/>
      </c>
      <c r="AA41" s="36">
        <f>MAX(0,AA40)*inp_tax</f>
        <v/>
      </c>
      <c r="AB41" s="36">
        <f>MAX(0,AB40)*inp_tax</f>
        <v/>
      </c>
      <c r="AC41" s="36">
        <f>MAX(0,AC40)*inp_tax</f>
        <v/>
      </c>
      <c r="AD41" s="36">
        <f>MAX(0,AD40)*inp_tax</f>
        <v/>
      </c>
      <c r="AE41" s="36">
        <f>MAX(0,AE40)*inp_tax</f>
        <v/>
      </c>
      <c r="AF41" s="36">
        <f>MAX(0,AF40)*inp_tax</f>
        <v/>
      </c>
      <c r="AG41" s="36">
        <f>MAX(0,AG40)*inp_tax</f>
        <v/>
      </c>
      <c r="AH41" s="36">
        <f>MAX(0,AH40)*inp_tax</f>
        <v/>
      </c>
      <c r="AI41" s="36">
        <f>MAX(0,AI40)*inp_tax</f>
        <v/>
      </c>
      <c r="AJ41" s="36">
        <f>MAX(0,AJ40)*inp_tax</f>
        <v/>
      </c>
      <c r="AK41" s="36">
        <f>MAX(0,AK40)*inp_tax</f>
        <v/>
      </c>
      <c r="AL41" s="36">
        <f>MAX(0,AL40)*inp_tax</f>
        <v/>
      </c>
      <c r="AN41" s="36">
        <f>SUMIF($O$5:$AL$5,AN$5,$O41:$AL41)</f>
        <v/>
      </c>
      <c r="AO41" s="36">
        <f>SUMIF($O$5:$AL$5,AO$5,$O41:$AL41)</f>
        <v/>
      </c>
    </row>
    <row r="42">
      <c r="A42" s="37" t="inlineStr">
        <is>
          <t>Net income</t>
        </is>
      </c>
      <c r="B42" s="38" t="inlineStr">
        <is>
          <t>GBP k</t>
        </is>
      </c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40">
        <f>O40-O41</f>
        <v/>
      </c>
      <c r="P42" s="40">
        <f>P40-P41</f>
        <v/>
      </c>
      <c r="Q42" s="40">
        <f>Q40-Q41</f>
        <v/>
      </c>
      <c r="R42" s="40">
        <f>R40-R41</f>
        <v/>
      </c>
      <c r="S42" s="40">
        <f>S40-S41</f>
        <v/>
      </c>
      <c r="T42" s="40">
        <f>T40-T41</f>
        <v/>
      </c>
      <c r="U42" s="40">
        <f>U40-U41</f>
        <v/>
      </c>
      <c r="V42" s="40">
        <f>V40-V41</f>
        <v/>
      </c>
      <c r="W42" s="40">
        <f>W40-W41</f>
        <v/>
      </c>
      <c r="X42" s="40">
        <f>X40-X41</f>
        <v/>
      </c>
      <c r="Y42" s="40">
        <f>Y40-Y41</f>
        <v/>
      </c>
      <c r="Z42" s="40">
        <f>Z40-Z41</f>
        <v/>
      </c>
      <c r="AA42" s="40">
        <f>AA40-AA41</f>
        <v/>
      </c>
      <c r="AB42" s="40">
        <f>AB40-AB41</f>
        <v/>
      </c>
      <c r="AC42" s="40">
        <f>AC40-AC41</f>
        <v/>
      </c>
      <c r="AD42" s="40">
        <f>AD40-AD41</f>
        <v/>
      </c>
      <c r="AE42" s="40">
        <f>AE40-AE41</f>
        <v/>
      </c>
      <c r="AF42" s="40">
        <f>AF40-AF41</f>
        <v/>
      </c>
      <c r="AG42" s="40">
        <f>AG40-AG41</f>
        <v/>
      </c>
      <c r="AH42" s="40">
        <f>AH40-AH41</f>
        <v/>
      </c>
      <c r="AI42" s="40">
        <f>AI40-AI41</f>
        <v/>
      </c>
      <c r="AJ42" s="40">
        <f>AJ40-AJ41</f>
        <v/>
      </c>
      <c r="AK42" s="40">
        <f>AK40-AK41</f>
        <v/>
      </c>
      <c r="AL42" s="40">
        <f>AL40-AL41</f>
        <v/>
      </c>
      <c r="AM42" s="39" t="n"/>
      <c r="AN42" s="40">
        <f>SUMIF($O$5:$AL$5,AN$5,$O42:$AL42)</f>
        <v/>
      </c>
      <c r="AO42" s="40">
        <f>SUMIF($O$5:$AL$5,AO$5,$O42:$AL42)</f>
        <v/>
      </c>
    </row>
    <row r="44">
      <c r="A44" s="13" t="inlineStr">
        <is>
          <t>PP&amp;E schedule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5" t="inlineStr">
        <is>
          <t>Opening NBV</t>
        </is>
      </c>
      <c r="B45" s="2" t="inlineStr">
        <is>
          <t>GBP k</t>
        </is>
      </c>
      <c r="O45" s="36">
        <f>N48</f>
        <v/>
      </c>
      <c r="P45" s="36">
        <f>O48</f>
        <v/>
      </c>
      <c r="Q45" s="36">
        <f>P48</f>
        <v/>
      </c>
      <c r="R45" s="36">
        <f>Q48</f>
        <v/>
      </c>
      <c r="S45" s="36">
        <f>R48</f>
        <v/>
      </c>
      <c r="T45" s="36">
        <f>S48</f>
        <v/>
      </c>
      <c r="U45" s="36">
        <f>T48</f>
        <v/>
      </c>
      <c r="V45" s="36">
        <f>U48</f>
        <v/>
      </c>
      <c r="W45" s="36">
        <f>V48</f>
        <v/>
      </c>
      <c r="X45" s="36">
        <f>W48</f>
        <v/>
      </c>
      <c r="Y45" s="36">
        <f>X48</f>
        <v/>
      </c>
      <c r="Z45" s="36">
        <f>Y48</f>
        <v/>
      </c>
      <c r="AA45" s="36">
        <f>Z48</f>
        <v/>
      </c>
      <c r="AB45" s="36">
        <f>AA48</f>
        <v/>
      </c>
      <c r="AC45" s="36">
        <f>AB48</f>
        <v/>
      </c>
      <c r="AD45" s="36">
        <f>AC48</f>
        <v/>
      </c>
      <c r="AE45" s="36">
        <f>AD48</f>
        <v/>
      </c>
      <c r="AF45" s="36">
        <f>AE48</f>
        <v/>
      </c>
      <c r="AG45" s="36">
        <f>AF48</f>
        <v/>
      </c>
      <c r="AH45" s="36">
        <f>AG48</f>
        <v/>
      </c>
      <c r="AI45" s="36">
        <f>AH48</f>
        <v/>
      </c>
      <c r="AJ45" s="36">
        <f>AI48</f>
        <v/>
      </c>
      <c r="AK45" s="36">
        <f>AJ48</f>
        <v/>
      </c>
      <c r="AL45" s="36">
        <f>AK48</f>
        <v/>
      </c>
      <c r="AN45" s="36">
        <f>INDEX($O45:$AL45,1,(AN$5-1)*12+1)</f>
        <v/>
      </c>
      <c r="AO45" s="36">
        <f>INDEX($O45:$AL45,1,(AO$5-1)*12+1)</f>
        <v/>
      </c>
    </row>
    <row r="46">
      <c r="A46" s="5" t="inlineStr">
        <is>
          <t>+ Capex</t>
        </is>
      </c>
      <c r="B46" s="2" t="inlineStr">
        <is>
          <t>GBP k</t>
        </is>
      </c>
      <c r="O46" s="36">
        <f>O23*inp_v_capex_pct</f>
        <v/>
      </c>
      <c r="P46" s="36">
        <f>P23*inp_v_capex_pct</f>
        <v/>
      </c>
      <c r="Q46" s="36">
        <f>Q23*inp_v_capex_pct</f>
        <v/>
      </c>
      <c r="R46" s="36">
        <f>R23*inp_v_capex_pct</f>
        <v/>
      </c>
      <c r="S46" s="36">
        <f>S23*inp_v_capex_pct</f>
        <v/>
      </c>
      <c r="T46" s="36">
        <f>T23*inp_v_capex_pct</f>
        <v/>
      </c>
      <c r="U46" s="36">
        <f>U23*inp_v_capex_pct</f>
        <v/>
      </c>
      <c r="V46" s="36">
        <f>V23*inp_v_capex_pct</f>
        <v/>
      </c>
      <c r="W46" s="36">
        <f>W23*inp_v_capex_pct</f>
        <v/>
      </c>
      <c r="X46" s="36">
        <f>X23*inp_v_capex_pct</f>
        <v/>
      </c>
      <c r="Y46" s="36">
        <f>Y23*inp_v_capex_pct</f>
        <v/>
      </c>
      <c r="Z46" s="36">
        <f>Z23*inp_v_capex_pct</f>
        <v/>
      </c>
      <c r="AA46" s="36">
        <f>AA23*inp_v_capex_pct</f>
        <v/>
      </c>
      <c r="AB46" s="36">
        <f>AB23*inp_v_capex_pct</f>
        <v/>
      </c>
      <c r="AC46" s="36">
        <f>AC23*inp_v_capex_pct</f>
        <v/>
      </c>
      <c r="AD46" s="36">
        <f>AD23*inp_v_capex_pct</f>
        <v/>
      </c>
      <c r="AE46" s="36">
        <f>AE23*inp_v_capex_pct</f>
        <v/>
      </c>
      <c r="AF46" s="36">
        <f>AF23*inp_v_capex_pct</f>
        <v/>
      </c>
      <c r="AG46" s="36">
        <f>AG23*inp_v_capex_pct</f>
        <v/>
      </c>
      <c r="AH46" s="36">
        <f>AH23*inp_v_capex_pct</f>
        <v/>
      </c>
      <c r="AI46" s="36">
        <f>AI23*inp_v_capex_pct</f>
        <v/>
      </c>
      <c r="AJ46" s="36">
        <f>AJ23*inp_v_capex_pct</f>
        <v/>
      </c>
      <c r="AK46" s="36">
        <f>AK23*inp_v_capex_pct</f>
        <v/>
      </c>
      <c r="AL46" s="36">
        <f>AL23*inp_v_capex_pct</f>
        <v/>
      </c>
      <c r="AN46" s="36">
        <f>SUMIF($O$5:$AL$5,AN$5,$O46:$AL46)</f>
        <v/>
      </c>
      <c r="AO46" s="36">
        <f>SUMIF($O$5:$AL$5,AO$5,$O46:$AL46)</f>
        <v/>
      </c>
    </row>
    <row r="47">
      <c r="A47" s="5" t="inlineStr">
        <is>
          <t>- Depreciation</t>
        </is>
      </c>
      <c r="B47" s="2" t="inlineStr">
        <is>
          <t>GBP k</t>
        </is>
      </c>
      <c r="O47" s="36">
        <f>-O38</f>
        <v/>
      </c>
      <c r="P47" s="36">
        <f>-P38</f>
        <v/>
      </c>
      <c r="Q47" s="36">
        <f>-Q38</f>
        <v/>
      </c>
      <c r="R47" s="36">
        <f>-R38</f>
        <v/>
      </c>
      <c r="S47" s="36">
        <f>-S38</f>
        <v/>
      </c>
      <c r="T47" s="36">
        <f>-T38</f>
        <v/>
      </c>
      <c r="U47" s="36">
        <f>-U38</f>
        <v/>
      </c>
      <c r="V47" s="36">
        <f>-V38</f>
        <v/>
      </c>
      <c r="W47" s="36">
        <f>-W38</f>
        <v/>
      </c>
      <c r="X47" s="36">
        <f>-X38</f>
        <v/>
      </c>
      <c r="Y47" s="36">
        <f>-Y38</f>
        <v/>
      </c>
      <c r="Z47" s="36">
        <f>-Z38</f>
        <v/>
      </c>
      <c r="AA47" s="36">
        <f>-AA38</f>
        <v/>
      </c>
      <c r="AB47" s="36">
        <f>-AB38</f>
        <v/>
      </c>
      <c r="AC47" s="36">
        <f>-AC38</f>
        <v/>
      </c>
      <c r="AD47" s="36">
        <f>-AD38</f>
        <v/>
      </c>
      <c r="AE47" s="36">
        <f>-AE38</f>
        <v/>
      </c>
      <c r="AF47" s="36">
        <f>-AF38</f>
        <v/>
      </c>
      <c r="AG47" s="36">
        <f>-AG38</f>
        <v/>
      </c>
      <c r="AH47" s="36">
        <f>-AH38</f>
        <v/>
      </c>
      <c r="AI47" s="36">
        <f>-AI38</f>
        <v/>
      </c>
      <c r="AJ47" s="36">
        <f>-AJ38</f>
        <v/>
      </c>
      <c r="AK47" s="36">
        <f>-AK38</f>
        <v/>
      </c>
      <c r="AL47" s="36">
        <f>-AL38</f>
        <v/>
      </c>
      <c r="AN47" s="36">
        <f>SUMIF($O$5:$AL$5,AN$5,$O47:$AL47)</f>
        <v/>
      </c>
      <c r="AO47" s="36">
        <f>SUMIF($O$5:$AL$5,AO$5,$O47:$AL47)</f>
        <v/>
      </c>
    </row>
    <row r="48">
      <c r="A48" s="37" t="inlineStr">
        <is>
          <t>Closing NBV</t>
        </is>
      </c>
      <c r="B48" s="38" t="inlineStr">
        <is>
          <t>GBP k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40">
        <f>inp_v_open_ppe</f>
        <v/>
      </c>
      <c r="O48" s="40">
        <f>SUM(O45:O47)</f>
        <v/>
      </c>
      <c r="P48" s="40">
        <f>SUM(P45:P47)</f>
        <v/>
      </c>
      <c r="Q48" s="40">
        <f>SUM(Q45:Q47)</f>
        <v/>
      </c>
      <c r="R48" s="40">
        <f>SUM(R45:R47)</f>
        <v/>
      </c>
      <c r="S48" s="40">
        <f>SUM(S45:S47)</f>
        <v/>
      </c>
      <c r="T48" s="40">
        <f>SUM(T45:T47)</f>
        <v/>
      </c>
      <c r="U48" s="40">
        <f>SUM(U45:U47)</f>
        <v/>
      </c>
      <c r="V48" s="40">
        <f>SUM(V45:V47)</f>
        <v/>
      </c>
      <c r="W48" s="40">
        <f>SUM(W45:W47)</f>
        <v/>
      </c>
      <c r="X48" s="40">
        <f>SUM(X45:X47)</f>
        <v/>
      </c>
      <c r="Y48" s="40">
        <f>SUM(Y45:Y47)</f>
        <v/>
      </c>
      <c r="Z48" s="40">
        <f>SUM(Z45:Z47)</f>
        <v/>
      </c>
      <c r="AA48" s="40">
        <f>SUM(AA45:AA47)</f>
        <v/>
      </c>
      <c r="AB48" s="40">
        <f>SUM(AB45:AB47)</f>
        <v/>
      </c>
      <c r="AC48" s="40">
        <f>SUM(AC45:AC47)</f>
        <v/>
      </c>
      <c r="AD48" s="40">
        <f>SUM(AD45:AD47)</f>
        <v/>
      </c>
      <c r="AE48" s="40">
        <f>SUM(AE45:AE47)</f>
        <v/>
      </c>
      <c r="AF48" s="40">
        <f>SUM(AF45:AF47)</f>
        <v/>
      </c>
      <c r="AG48" s="40">
        <f>SUM(AG45:AG47)</f>
        <v/>
      </c>
      <c r="AH48" s="40">
        <f>SUM(AH45:AH47)</f>
        <v/>
      </c>
      <c r="AI48" s="40">
        <f>SUM(AI45:AI47)</f>
        <v/>
      </c>
      <c r="AJ48" s="40">
        <f>SUM(AJ45:AJ47)</f>
        <v/>
      </c>
      <c r="AK48" s="40">
        <f>SUM(AK45:AK47)</f>
        <v/>
      </c>
      <c r="AL48" s="40">
        <f>SUM(AL45:AL47)</f>
        <v/>
      </c>
      <c r="AM48" s="39" t="n"/>
      <c r="AN48" s="40">
        <f>INDEX($O48:$AL48,1,AN$5*12)</f>
        <v/>
      </c>
      <c r="AO48" s="40">
        <f>INDEX($O48:$AL48,1,AO$5*12)</f>
        <v/>
      </c>
    </row>
    <row r="50">
      <c r="A50" s="13" t="inlineStr">
        <is>
          <t>Balance sheet</t>
        </is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5" t="inlineStr">
        <is>
          <t>Cash</t>
        </is>
      </c>
      <c r="B51" s="2" t="inlineStr">
        <is>
          <t>GBP k</t>
        </is>
      </c>
      <c r="N51" s="36">
        <f>N68</f>
        <v/>
      </c>
      <c r="O51" s="36">
        <f>O68</f>
        <v/>
      </c>
      <c r="P51" s="36">
        <f>P68</f>
        <v/>
      </c>
      <c r="Q51" s="36">
        <f>Q68</f>
        <v/>
      </c>
      <c r="R51" s="36">
        <f>R68</f>
        <v/>
      </c>
      <c r="S51" s="36">
        <f>S68</f>
        <v/>
      </c>
      <c r="T51" s="36">
        <f>T68</f>
        <v/>
      </c>
      <c r="U51" s="36">
        <f>U68</f>
        <v/>
      </c>
      <c r="V51" s="36">
        <f>V68</f>
        <v/>
      </c>
      <c r="W51" s="36">
        <f>W68</f>
        <v/>
      </c>
      <c r="X51" s="36">
        <f>X68</f>
        <v/>
      </c>
      <c r="Y51" s="36">
        <f>Y68</f>
        <v/>
      </c>
      <c r="Z51" s="36">
        <f>Z68</f>
        <v/>
      </c>
      <c r="AA51" s="36">
        <f>AA68</f>
        <v/>
      </c>
      <c r="AB51" s="36">
        <f>AB68</f>
        <v/>
      </c>
      <c r="AC51" s="36">
        <f>AC68</f>
        <v/>
      </c>
      <c r="AD51" s="36">
        <f>AD68</f>
        <v/>
      </c>
      <c r="AE51" s="36">
        <f>AE68</f>
        <v/>
      </c>
      <c r="AF51" s="36">
        <f>AF68</f>
        <v/>
      </c>
      <c r="AG51" s="36">
        <f>AG68</f>
        <v/>
      </c>
      <c r="AH51" s="36">
        <f>AH68</f>
        <v/>
      </c>
      <c r="AI51" s="36">
        <f>AI68</f>
        <v/>
      </c>
      <c r="AJ51" s="36">
        <f>AJ68</f>
        <v/>
      </c>
      <c r="AK51" s="36">
        <f>AK68</f>
        <v/>
      </c>
      <c r="AL51" s="36">
        <f>AL68</f>
        <v/>
      </c>
      <c r="AN51" s="36">
        <f>INDEX($O51:$AL51,1,AN$5*12)</f>
        <v/>
      </c>
      <c r="AO51" s="36">
        <f>INDEX($O51:$AL51,1,AO$5*12)</f>
        <v/>
      </c>
    </row>
    <row r="52">
      <c r="A52" s="5" t="inlineStr">
        <is>
          <t>Trade receivables</t>
        </is>
      </c>
      <c r="B52" s="2" t="inlineStr">
        <is>
          <t>GBP k</t>
        </is>
      </c>
      <c r="N52" s="36">
        <f>N28</f>
        <v/>
      </c>
      <c r="O52" s="36">
        <f>O28</f>
        <v/>
      </c>
      <c r="P52" s="36">
        <f>P28</f>
        <v/>
      </c>
      <c r="Q52" s="36">
        <f>Q28</f>
        <v/>
      </c>
      <c r="R52" s="36">
        <f>R28</f>
        <v/>
      </c>
      <c r="S52" s="36">
        <f>S28</f>
        <v/>
      </c>
      <c r="T52" s="36">
        <f>T28</f>
        <v/>
      </c>
      <c r="U52" s="36">
        <f>U28</f>
        <v/>
      </c>
      <c r="V52" s="36">
        <f>V28</f>
        <v/>
      </c>
      <c r="W52" s="36">
        <f>W28</f>
        <v/>
      </c>
      <c r="X52" s="36">
        <f>X28</f>
        <v/>
      </c>
      <c r="Y52" s="36">
        <f>Y28</f>
        <v/>
      </c>
      <c r="Z52" s="36">
        <f>Z28</f>
        <v/>
      </c>
      <c r="AA52" s="36">
        <f>AA28</f>
        <v/>
      </c>
      <c r="AB52" s="36">
        <f>AB28</f>
        <v/>
      </c>
      <c r="AC52" s="36">
        <f>AC28</f>
        <v/>
      </c>
      <c r="AD52" s="36">
        <f>AD28</f>
        <v/>
      </c>
      <c r="AE52" s="36">
        <f>AE28</f>
        <v/>
      </c>
      <c r="AF52" s="36">
        <f>AF28</f>
        <v/>
      </c>
      <c r="AG52" s="36">
        <f>AG28</f>
        <v/>
      </c>
      <c r="AH52" s="36">
        <f>AH28</f>
        <v/>
      </c>
      <c r="AI52" s="36">
        <f>AI28</f>
        <v/>
      </c>
      <c r="AJ52" s="36">
        <f>AJ28</f>
        <v/>
      </c>
      <c r="AK52" s="36">
        <f>AK28</f>
        <v/>
      </c>
      <c r="AL52" s="36">
        <f>AL28</f>
        <v/>
      </c>
      <c r="AN52" s="36">
        <f>INDEX($O52:$AL52,1,AN$5*12)</f>
        <v/>
      </c>
      <c r="AO52" s="36">
        <f>INDEX($O52:$AL52,1,AO$5*12)</f>
        <v/>
      </c>
    </row>
    <row r="53">
      <c r="A53" s="5" t="inlineStr">
        <is>
          <t>PP&amp;E (net)</t>
        </is>
      </c>
      <c r="B53" s="2" t="inlineStr">
        <is>
          <t>GBP k</t>
        </is>
      </c>
      <c r="N53" s="36">
        <f>N48</f>
        <v/>
      </c>
      <c r="O53" s="36">
        <f>O48</f>
        <v/>
      </c>
      <c r="P53" s="36">
        <f>P48</f>
        <v/>
      </c>
      <c r="Q53" s="36">
        <f>Q48</f>
        <v/>
      </c>
      <c r="R53" s="36">
        <f>R48</f>
        <v/>
      </c>
      <c r="S53" s="36">
        <f>S48</f>
        <v/>
      </c>
      <c r="T53" s="36">
        <f>T48</f>
        <v/>
      </c>
      <c r="U53" s="36">
        <f>U48</f>
        <v/>
      </c>
      <c r="V53" s="36">
        <f>V48</f>
        <v/>
      </c>
      <c r="W53" s="36">
        <f>W48</f>
        <v/>
      </c>
      <c r="X53" s="36">
        <f>X48</f>
        <v/>
      </c>
      <c r="Y53" s="36">
        <f>Y48</f>
        <v/>
      </c>
      <c r="Z53" s="36">
        <f>Z48</f>
        <v/>
      </c>
      <c r="AA53" s="36">
        <f>AA48</f>
        <v/>
      </c>
      <c r="AB53" s="36">
        <f>AB48</f>
        <v/>
      </c>
      <c r="AC53" s="36">
        <f>AC48</f>
        <v/>
      </c>
      <c r="AD53" s="36">
        <f>AD48</f>
        <v/>
      </c>
      <c r="AE53" s="36">
        <f>AE48</f>
        <v/>
      </c>
      <c r="AF53" s="36">
        <f>AF48</f>
        <v/>
      </c>
      <c r="AG53" s="36">
        <f>AG48</f>
        <v/>
      </c>
      <c r="AH53" s="36">
        <f>AH48</f>
        <v/>
      </c>
      <c r="AI53" s="36">
        <f>AI48</f>
        <v/>
      </c>
      <c r="AJ53" s="36">
        <f>AJ48</f>
        <v/>
      </c>
      <c r="AK53" s="36">
        <f>AK48</f>
        <v/>
      </c>
      <c r="AL53" s="36">
        <f>AL48</f>
        <v/>
      </c>
      <c r="AN53" s="36">
        <f>INDEX($O53:$AL53,1,AN$5*12)</f>
        <v/>
      </c>
      <c r="AO53" s="36">
        <f>INDEX($O53:$AL53,1,AO$5*12)</f>
        <v/>
      </c>
    </row>
    <row r="54">
      <c r="A54" s="37" t="inlineStr">
        <is>
          <t>Total assets</t>
        </is>
      </c>
      <c r="B54" s="38" t="inlineStr">
        <is>
          <t>GBP k</t>
        </is>
      </c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40">
        <f>SUM(N51:N53)</f>
        <v/>
      </c>
      <c r="O54" s="40">
        <f>SUM(O51:O53)</f>
        <v/>
      </c>
      <c r="P54" s="40">
        <f>SUM(P51:P53)</f>
        <v/>
      </c>
      <c r="Q54" s="40">
        <f>SUM(Q51:Q53)</f>
        <v/>
      </c>
      <c r="R54" s="40">
        <f>SUM(R51:R53)</f>
        <v/>
      </c>
      <c r="S54" s="40">
        <f>SUM(S51:S53)</f>
        <v/>
      </c>
      <c r="T54" s="40">
        <f>SUM(T51:T53)</f>
        <v/>
      </c>
      <c r="U54" s="40">
        <f>SUM(U51:U53)</f>
        <v/>
      </c>
      <c r="V54" s="40">
        <f>SUM(V51:V53)</f>
        <v/>
      </c>
      <c r="W54" s="40">
        <f>SUM(W51:W53)</f>
        <v/>
      </c>
      <c r="X54" s="40">
        <f>SUM(X51:X53)</f>
        <v/>
      </c>
      <c r="Y54" s="40">
        <f>SUM(Y51:Y53)</f>
        <v/>
      </c>
      <c r="Z54" s="40">
        <f>SUM(Z51:Z53)</f>
        <v/>
      </c>
      <c r="AA54" s="40">
        <f>SUM(AA51:AA53)</f>
        <v/>
      </c>
      <c r="AB54" s="40">
        <f>SUM(AB51:AB53)</f>
        <v/>
      </c>
      <c r="AC54" s="40">
        <f>SUM(AC51:AC53)</f>
        <v/>
      </c>
      <c r="AD54" s="40">
        <f>SUM(AD51:AD53)</f>
        <v/>
      </c>
      <c r="AE54" s="40">
        <f>SUM(AE51:AE53)</f>
        <v/>
      </c>
      <c r="AF54" s="40">
        <f>SUM(AF51:AF53)</f>
        <v/>
      </c>
      <c r="AG54" s="40">
        <f>SUM(AG51:AG53)</f>
        <v/>
      </c>
      <c r="AH54" s="40">
        <f>SUM(AH51:AH53)</f>
        <v/>
      </c>
      <c r="AI54" s="40">
        <f>SUM(AI51:AI53)</f>
        <v/>
      </c>
      <c r="AJ54" s="40">
        <f>SUM(AJ51:AJ53)</f>
        <v/>
      </c>
      <c r="AK54" s="40">
        <f>SUM(AK51:AK53)</f>
        <v/>
      </c>
      <c r="AL54" s="40">
        <f>SUM(AL51:AL53)</f>
        <v/>
      </c>
      <c r="AM54" s="39" t="n"/>
      <c r="AN54" s="40">
        <f>INDEX($O54:$AL54,1,AN$5*12)</f>
        <v/>
      </c>
      <c r="AO54" s="40">
        <f>INDEX($O54:$AL54,1,AO$5*12)</f>
        <v/>
      </c>
    </row>
    <row r="55">
      <c r="A55" s="5" t="inlineStr">
        <is>
          <t>Trade payables</t>
        </is>
      </c>
      <c r="B55" s="2" t="inlineStr">
        <is>
          <t>GBP k</t>
        </is>
      </c>
      <c r="N55" s="36">
        <f>inp_v_arr_open/12*(inp_v_cogs_pct+inp_v_rd_pct+inp_v_sm_pct+inp_v_ga_pct)*inp_v_ap_months</f>
        <v/>
      </c>
      <c r="O55" s="36">
        <f>(O31+O33+O34+O35)*inp_v_ap_months</f>
        <v/>
      </c>
      <c r="P55" s="36">
        <f>(P31+P33+P34+P35)*inp_v_ap_months</f>
        <v/>
      </c>
      <c r="Q55" s="36">
        <f>(Q31+Q33+Q34+Q35)*inp_v_ap_months</f>
        <v/>
      </c>
      <c r="R55" s="36">
        <f>(R31+R33+R34+R35)*inp_v_ap_months</f>
        <v/>
      </c>
      <c r="S55" s="36">
        <f>(S31+S33+S34+S35)*inp_v_ap_months</f>
        <v/>
      </c>
      <c r="T55" s="36">
        <f>(T31+T33+T34+T35)*inp_v_ap_months</f>
        <v/>
      </c>
      <c r="U55" s="36">
        <f>(U31+U33+U34+U35)*inp_v_ap_months</f>
        <v/>
      </c>
      <c r="V55" s="36">
        <f>(V31+V33+V34+V35)*inp_v_ap_months</f>
        <v/>
      </c>
      <c r="W55" s="36">
        <f>(W31+W33+W34+W35)*inp_v_ap_months</f>
        <v/>
      </c>
      <c r="X55" s="36">
        <f>(X31+X33+X34+X35)*inp_v_ap_months</f>
        <v/>
      </c>
      <c r="Y55" s="36">
        <f>(Y31+Y33+Y34+Y35)*inp_v_ap_months</f>
        <v/>
      </c>
      <c r="Z55" s="36">
        <f>(Z31+Z33+Z34+Z35)*inp_v_ap_months</f>
        <v/>
      </c>
      <c r="AA55" s="36">
        <f>(AA31+AA33+AA34+AA35)*inp_v_ap_months</f>
        <v/>
      </c>
      <c r="AB55" s="36">
        <f>(AB31+AB33+AB34+AB35)*inp_v_ap_months</f>
        <v/>
      </c>
      <c r="AC55" s="36">
        <f>(AC31+AC33+AC34+AC35)*inp_v_ap_months</f>
        <v/>
      </c>
      <c r="AD55" s="36">
        <f>(AD31+AD33+AD34+AD35)*inp_v_ap_months</f>
        <v/>
      </c>
      <c r="AE55" s="36">
        <f>(AE31+AE33+AE34+AE35)*inp_v_ap_months</f>
        <v/>
      </c>
      <c r="AF55" s="36">
        <f>(AF31+AF33+AF34+AF35)*inp_v_ap_months</f>
        <v/>
      </c>
      <c r="AG55" s="36">
        <f>(AG31+AG33+AG34+AG35)*inp_v_ap_months</f>
        <v/>
      </c>
      <c r="AH55" s="36">
        <f>(AH31+AH33+AH34+AH35)*inp_v_ap_months</f>
        <v/>
      </c>
      <c r="AI55" s="36">
        <f>(AI31+AI33+AI34+AI35)*inp_v_ap_months</f>
        <v/>
      </c>
      <c r="AJ55" s="36">
        <f>(AJ31+AJ33+AJ34+AJ35)*inp_v_ap_months</f>
        <v/>
      </c>
      <c r="AK55" s="36">
        <f>(AK31+AK33+AK34+AK35)*inp_v_ap_months</f>
        <v/>
      </c>
      <c r="AL55" s="36">
        <f>(AL31+AL33+AL34+AL35)*inp_v_ap_months</f>
        <v/>
      </c>
      <c r="AN55" s="36">
        <f>INDEX($O55:$AL55,1,AN$5*12)</f>
        <v/>
      </c>
      <c r="AO55" s="36">
        <f>INDEX($O55:$AL55,1,AO$5*12)</f>
        <v/>
      </c>
    </row>
    <row r="56">
      <c r="A56" s="5" t="inlineStr">
        <is>
          <t>Deferred revenue</t>
        </is>
      </c>
      <c r="B56" s="2" t="inlineStr">
        <is>
          <t>GBP k</t>
        </is>
      </c>
      <c r="N56" s="36">
        <f>N27</f>
        <v/>
      </c>
      <c r="O56" s="36">
        <f>O27</f>
        <v/>
      </c>
      <c r="P56" s="36">
        <f>P27</f>
        <v/>
      </c>
      <c r="Q56" s="36">
        <f>Q27</f>
        <v/>
      </c>
      <c r="R56" s="36">
        <f>R27</f>
        <v/>
      </c>
      <c r="S56" s="36">
        <f>S27</f>
        <v/>
      </c>
      <c r="T56" s="36">
        <f>T27</f>
        <v/>
      </c>
      <c r="U56" s="36">
        <f>U27</f>
        <v/>
      </c>
      <c r="V56" s="36">
        <f>V27</f>
        <v/>
      </c>
      <c r="W56" s="36">
        <f>W27</f>
        <v/>
      </c>
      <c r="X56" s="36">
        <f>X27</f>
        <v/>
      </c>
      <c r="Y56" s="36">
        <f>Y27</f>
        <v/>
      </c>
      <c r="Z56" s="36">
        <f>Z27</f>
        <v/>
      </c>
      <c r="AA56" s="36">
        <f>AA27</f>
        <v/>
      </c>
      <c r="AB56" s="36">
        <f>AB27</f>
        <v/>
      </c>
      <c r="AC56" s="36">
        <f>AC27</f>
        <v/>
      </c>
      <c r="AD56" s="36">
        <f>AD27</f>
        <v/>
      </c>
      <c r="AE56" s="36">
        <f>AE27</f>
        <v/>
      </c>
      <c r="AF56" s="36">
        <f>AF27</f>
        <v/>
      </c>
      <c r="AG56" s="36">
        <f>AG27</f>
        <v/>
      </c>
      <c r="AH56" s="36">
        <f>AH27</f>
        <v/>
      </c>
      <c r="AI56" s="36">
        <f>AI27</f>
        <v/>
      </c>
      <c r="AJ56" s="36">
        <f>AJ27</f>
        <v/>
      </c>
      <c r="AK56" s="36">
        <f>AK27</f>
        <v/>
      </c>
      <c r="AL56" s="36">
        <f>AL27</f>
        <v/>
      </c>
      <c r="AN56" s="36">
        <f>INDEX($O56:$AL56,1,AN$5*12)</f>
        <v/>
      </c>
      <c r="AO56" s="36">
        <f>INDEX($O56:$AL56,1,AO$5*12)</f>
        <v/>
      </c>
    </row>
    <row r="57">
      <c r="A57" s="37" t="inlineStr">
        <is>
          <t>Total liabilities</t>
        </is>
      </c>
      <c r="B57" s="38" t="inlineStr">
        <is>
          <t>GBP k</t>
        </is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40">
        <f>N55+N56</f>
        <v/>
      </c>
      <c r="O57" s="40">
        <f>O55+O56</f>
        <v/>
      </c>
      <c r="P57" s="40">
        <f>P55+P56</f>
        <v/>
      </c>
      <c r="Q57" s="40">
        <f>Q55+Q56</f>
        <v/>
      </c>
      <c r="R57" s="40">
        <f>R55+R56</f>
        <v/>
      </c>
      <c r="S57" s="40">
        <f>S55+S56</f>
        <v/>
      </c>
      <c r="T57" s="40">
        <f>T55+T56</f>
        <v/>
      </c>
      <c r="U57" s="40">
        <f>U55+U56</f>
        <v/>
      </c>
      <c r="V57" s="40">
        <f>V55+V56</f>
        <v/>
      </c>
      <c r="W57" s="40">
        <f>W55+W56</f>
        <v/>
      </c>
      <c r="X57" s="40">
        <f>X55+X56</f>
        <v/>
      </c>
      <c r="Y57" s="40">
        <f>Y55+Y56</f>
        <v/>
      </c>
      <c r="Z57" s="40">
        <f>Z55+Z56</f>
        <v/>
      </c>
      <c r="AA57" s="40">
        <f>AA55+AA56</f>
        <v/>
      </c>
      <c r="AB57" s="40">
        <f>AB55+AB56</f>
        <v/>
      </c>
      <c r="AC57" s="40">
        <f>AC55+AC56</f>
        <v/>
      </c>
      <c r="AD57" s="40">
        <f>AD55+AD56</f>
        <v/>
      </c>
      <c r="AE57" s="40">
        <f>AE55+AE56</f>
        <v/>
      </c>
      <c r="AF57" s="40">
        <f>AF55+AF56</f>
        <v/>
      </c>
      <c r="AG57" s="40">
        <f>AG55+AG56</f>
        <v/>
      </c>
      <c r="AH57" s="40">
        <f>AH55+AH56</f>
        <v/>
      </c>
      <c r="AI57" s="40">
        <f>AI55+AI56</f>
        <v/>
      </c>
      <c r="AJ57" s="40">
        <f>AJ55+AJ56</f>
        <v/>
      </c>
      <c r="AK57" s="40">
        <f>AK55+AK56</f>
        <v/>
      </c>
      <c r="AL57" s="40">
        <f>AL55+AL56</f>
        <v/>
      </c>
      <c r="AM57" s="39" t="n"/>
      <c r="AN57" s="40">
        <f>INDEX($O57:$AL57,1,AN$5*12)</f>
        <v/>
      </c>
      <c r="AO57" s="40">
        <f>INDEX($O57:$AL57,1,AO$5*12)</f>
        <v/>
      </c>
    </row>
    <row r="58">
      <c r="A58" s="3" t="inlineStr">
        <is>
          <t>Equity (opening net assets + cumulative net income)</t>
        </is>
      </c>
      <c r="B58" s="2" t="inlineStr">
        <is>
          <t>GBP k</t>
        </is>
      </c>
      <c r="N58" s="42">
        <f>N54-N57</f>
        <v/>
      </c>
      <c r="O58" s="42">
        <f>N58+O42</f>
        <v/>
      </c>
      <c r="P58" s="42">
        <f>O58+P42</f>
        <v/>
      </c>
      <c r="Q58" s="42">
        <f>P58+Q42</f>
        <v/>
      </c>
      <c r="R58" s="42">
        <f>Q58+R42</f>
        <v/>
      </c>
      <c r="S58" s="42">
        <f>R58+S42</f>
        <v/>
      </c>
      <c r="T58" s="42">
        <f>S58+T42</f>
        <v/>
      </c>
      <c r="U58" s="42">
        <f>T58+U42</f>
        <v/>
      </c>
      <c r="V58" s="42">
        <f>U58+V42</f>
        <v/>
      </c>
      <c r="W58" s="42">
        <f>V58+W42</f>
        <v/>
      </c>
      <c r="X58" s="42">
        <f>W58+X42</f>
        <v/>
      </c>
      <c r="Y58" s="42">
        <f>X58+Y42</f>
        <v/>
      </c>
      <c r="Z58" s="42">
        <f>Y58+Z42</f>
        <v/>
      </c>
      <c r="AA58" s="42">
        <f>Z58+AA42</f>
        <v/>
      </c>
      <c r="AB58" s="42">
        <f>AA58+AB42</f>
        <v/>
      </c>
      <c r="AC58" s="42">
        <f>AB58+AC42</f>
        <v/>
      </c>
      <c r="AD58" s="42">
        <f>AC58+AD42</f>
        <v/>
      </c>
      <c r="AE58" s="42">
        <f>AD58+AE42</f>
        <v/>
      </c>
      <c r="AF58" s="42">
        <f>AE58+AF42</f>
        <v/>
      </c>
      <c r="AG58" s="42">
        <f>AF58+AG42</f>
        <v/>
      </c>
      <c r="AH58" s="42">
        <f>AG58+AH42</f>
        <v/>
      </c>
      <c r="AI58" s="42">
        <f>AH58+AI42</f>
        <v/>
      </c>
      <c r="AJ58" s="42">
        <f>AI58+AJ42</f>
        <v/>
      </c>
      <c r="AK58" s="42">
        <f>AJ58+AK42</f>
        <v/>
      </c>
      <c r="AL58" s="42">
        <f>AK58+AL42</f>
        <v/>
      </c>
      <c r="AN58" s="42">
        <f>INDEX($O58:$AL58,1,AN$5*12)</f>
        <v/>
      </c>
      <c r="AO58" s="42">
        <f>INDEX($O58:$AL58,1,AO$5*12)</f>
        <v/>
      </c>
    </row>
    <row r="59">
      <c r="A59" s="5" t="inlineStr">
        <is>
          <t>Balance check</t>
        </is>
      </c>
      <c r="B59" s="2" t="inlineStr">
        <is>
          <t>GBP k</t>
        </is>
      </c>
      <c r="N59" s="47">
        <f>N54-N57-N58</f>
        <v/>
      </c>
      <c r="O59" s="47">
        <f>O54-O57-O58</f>
        <v/>
      </c>
      <c r="P59" s="47">
        <f>P54-P57-P58</f>
        <v/>
      </c>
      <c r="Q59" s="47">
        <f>Q54-Q57-Q58</f>
        <v/>
      </c>
      <c r="R59" s="47">
        <f>R54-R57-R58</f>
        <v/>
      </c>
      <c r="S59" s="47">
        <f>S54-S57-S58</f>
        <v/>
      </c>
      <c r="T59" s="47">
        <f>T54-T57-T58</f>
        <v/>
      </c>
      <c r="U59" s="47">
        <f>U54-U57-U58</f>
        <v/>
      </c>
      <c r="V59" s="47">
        <f>V54-V57-V58</f>
        <v/>
      </c>
      <c r="W59" s="47">
        <f>W54-W57-W58</f>
        <v/>
      </c>
      <c r="X59" s="47">
        <f>X54-X57-X58</f>
        <v/>
      </c>
      <c r="Y59" s="47">
        <f>Y54-Y57-Y58</f>
        <v/>
      </c>
      <c r="Z59" s="47">
        <f>Z54-Z57-Z58</f>
        <v/>
      </c>
      <c r="AA59" s="47">
        <f>AA54-AA57-AA58</f>
        <v/>
      </c>
      <c r="AB59" s="47">
        <f>AB54-AB57-AB58</f>
        <v/>
      </c>
      <c r="AC59" s="47">
        <f>AC54-AC57-AC58</f>
        <v/>
      </c>
      <c r="AD59" s="47">
        <f>AD54-AD57-AD58</f>
        <v/>
      </c>
      <c r="AE59" s="47">
        <f>AE54-AE57-AE58</f>
        <v/>
      </c>
      <c r="AF59" s="47">
        <f>AF54-AF57-AF58</f>
        <v/>
      </c>
      <c r="AG59" s="47">
        <f>AG54-AG57-AG58</f>
        <v/>
      </c>
      <c r="AH59" s="47">
        <f>AH54-AH57-AH58</f>
        <v/>
      </c>
      <c r="AI59" s="47">
        <f>AI54-AI57-AI58</f>
        <v/>
      </c>
      <c r="AJ59" s="47">
        <f>AJ54-AJ57-AJ58</f>
        <v/>
      </c>
      <c r="AK59" s="47">
        <f>AK54-AK57-AK58</f>
        <v/>
      </c>
      <c r="AL59" s="47">
        <f>AL54-AL57-AL58</f>
        <v/>
      </c>
      <c r="AN59" s="47">
        <f>INDEX($O59:$AL59,1,AN$5*12)</f>
        <v/>
      </c>
      <c r="AO59" s="47">
        <f>INDEX($O59:$AL59,1,AO$5*12)</f>
        <v/>
      </c>
    </row>
    <row r="61">
      <c r="A61" s="13" t="inlineStr">
        <is>
          <t>Cash flow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</row>
    <row r="62">
      <c r="A62" s="5" t="inlineStr">
        <is>
          <t>Depreciation</t>
        </is>
      </c>
      <c r="B62" s="2" t="inlineStr">
        <is>
          <t>GBP k</t>
        </is>
      </c>
      <c r="O62" s="36">
        <f>O38</f>
        <v/>
      </c>
      <c r="P62" s="36">
        <f>P38</f>
        <v/>
      </c>
      <c r="Q62" s="36">
        <f>Q38</f>
        <v/>
      </c>
      <c r="R62" s="36">
        <f>R38</f>
        <v/>
      </c>
      <c r="S62" s="36">
        <f>S38</f>
        <v/>
      </c>
      <c r="T62" s="36">
        <f>T38</f>
        <v/>
      </c>
      <c r="U62" s="36">
        <f>U38</f>
        <v/>
      </c>
      <c r="V62" s="36">
        <f>V38</f>
        <v/>
      </c>
      <c r="W62" s="36">
        <f>W38</f>
        <v/>
      </c>
      <c r="X62" s="36">
        <f>X38</f>
        <v/>
      </c>
      <c r="Y62" s="36">
        <f>Y38</f>
        <v/>
      </c>
      <c r="Z62" s="36">
        <f>Z38</f>
        <v/>
      </c>
      <c r="AA62" s="36">
        <f>AA38</f>
        <v/>
      </c>
      <c r="AB62" s="36">
        <f>AB38</f>
        <v/>
      </c>
      <c r="AC62" s="36">
        <f>AC38</f>
        <v/>
      </c>
      <c r="AD62" s="36">
        <f>AD38</f>
        <v/>
      </c>
      <c r="AE62" s="36">
        <f>AE38</f>
        <v/>
      </c>
      <c r="AF62" s="36">
        <f>AF38</f>
        <v/>
      </c>
      <c r="AG62" s="36">
        <f>AG38</f>
        <v/>
      </c>
      <c r="AH62" s="36">
        <f>AH38</f>
        <v/>
      </c>
      <c r="AI62" s="36">
        <f>AI38</f>
        <v/>
      </c>
      <c r="AJ62" s="36">
        <f>AJ38</f>
        <v/>
      </c>
      <c r="AK62" s="36">
        <f>AK38</f>
        <v/>
      </c>
      <c r="AL62" s="36">
        <f>AL38</f>
        <v/>
      </c>
      <c r="AN62" s="36">
        <f>SUMIF($O$5:$AL$5,AN$5,$O62:$AL62)</f>
        <v/>
      </c>
      <c r="AO62" s="36">
        <f>SUMIF($O$5:$AL$5,AO$5,$O62:$AL62)</f>
        <v/>
      </c>
    </row>
    <row r="63">
      <c r="A63" s="5" t="inlineStr">
        <is>
          <t>(Increase) / decrease in receivables</t>
        </is>
      </c>
      <c r="B63" s="2" t="inlineStr">
        <is>
          <t>GBP k</t>
        </is>
      </c>
      <c r="O63" s="36">
        <f>-(O52-N52)</f>
        <v/>
      </c>
      <c r="P63" s="36">
        <f>-(P52-O52)</f>
        <v/>
      </c>
      <c r="Q63" s="36">
        <f>-(Q52-P52)</f>
        <v/>
      </c>
      <c r="R63" s="36">
        <f>-(R52-Q52)</f>
        <v/>
      </c>
      <c r="S63" s="36">
        <f>-(S52-R52)</f>
        <v/>
      </c>
      <c r="T63" s="36">
        <f>-(T52-S52)</f>
        <v/>
      </c>
      <c r="U63" s="36">
        <f>-(U52-T52)</f>
        <v/>
      </c>
      <c r="V63" s="36">
        <f>-(V52-U52)</f>
        <v/>
      </c>
      <c r="W63" s="36">
        <f>-(W52-V52)</f>
        <v/>
      </c>
      <c r="X63" s="36">
        <f>-(X52-W52)</f>
        <v/>
      </c>
      <c r="Y63" s="36">
        <f>-(Y52-X52)</f>
        <v/>
      </c>
      <c r="Z63" s="36">
        <f>-(Z52-Y52)</f>
        <v/>
      </c>
      <c r="AA63" s="36">
        <f>-(AA52-Z52)</f>
        <v/>
      </c>
      <c r="AB63" s="36">
        <f>-(AB52-AA52)</f>
        <v/>
      </c>
      <c r="AC63" s="36">
        <f>-(AC52-AB52)</f>
        <v/>
      </c>
      <c r="AD63" s="36">
        <f>-(AD52-AC52)</f>
        <v/>
      </c>
      <c r="AE63" s="36">
        <f>-(AE52-AD52)</f>
        <v/>
      </c>
      <c r="AF63" s="36">
        <f>-(AF52-AE52)</f>
        <v/>
      </c>
      <c r="AG63" s="36">
        <f>-(AG52-AF52)</f>
        <v/>
      </c>
      <c r="AH63" s="36">
        <f>-(AH52-AG52)</f>
        <v/>
      </c>
      <c r="AI63" s="36">
        <f>-(AI52-AH52)</f>
        <v/>
      </c>
      <c r="AJ63" s="36">
        <f>-(AJ52-AI52)</f>
        <v/>
      </c>
      <c r="AK63" s="36">
        <f>-(AK52-AJ52)</f>
        <v/>
      </c>
      <c r="AL63" s="36">
        <f>-(AL52-AK52)</f>
        <v/>
      </c>
      <c r="AN63" s="36">
        <f>SUMIF($O$5:$AL$5,AN$5,$O63:$AL63)</f>
        <v/>
      </c>
      <c r="AO63" s="36">
        <f>SUMIF($O$5:$AL$5,AO$5,$O63:$AL63)</f>
        <v/>
      </c>
    </row>
    <row r="64">
      <c r="A64" s="5" t="inlineStr">
        <is>
          <t>Increase / (decrease) in payables</t>
        </is>
      </c>
      <c r="B64" s="2" t="inlineStr">
        <is>
          <t>GBP k</t>
        </is>
      </c>
      <c r="O64" s="36">
        <f>O55-N55</f>
        <v/>
      </c>
      <c r="P64" s="36">
        <f>P55-O55</f>
        <v/>
      </c>
      <c r="Q64" s="36">
        <f>Q55-P55</f>
        <v/>
      </c>
      <c r="R64" s="36">
        <f>R55-Q55</f>
        <v/>
      </c>
      <c r="S64" s="36">
        <f>S55-R55</f>
        <v/>
      </c>
      <c r="T64" s="36">
        <f>T55-S55</f>
        <v/>
      </c>
      <c r="U64" s="36">
        <f>U55-T55</f>
        <v/>
      </c>
      <c r="V64" s="36">
        <f>V55-U55</f>
        <v/>
      </c>
      <c r="W64" s="36">
        <f>W55-V55</f>
        <v/>
      </c>
      <c r="X64" s="36">
        <f>X55-W55</f>
        <v/>
      </c>
      <c r="Y64" s="36">
        <f>Y55-X55</f>
        <v/>
      </c>
      <c r="Z64" s="36">
        <f>Z55-Y55</f>
        <v/>
      </c>
      <c r="AA64" s="36">
        <f>AA55-Z55</f>
        <v/>
      </c>
      <c r="AB64" s="36">
        <f>AB55-AA55</f>
        <v/>
      </c>
      <c r="AC64" s="36">
        <f>AC55-AB55</f>
        <v/>
      </c>
      <c r="AD64" s="36">
        <f>AD55-AC55</f>
        <v/>
      </c>
      <c r="AE64" s="36">
        <f>AE55-AD55</f>
        <v/>
      </c>
      <c r="AF64" s="36">
        <f>AF55-AE55</f>
        <v/>
      </c>
      <c r="AG64" s="36">
        <f>AG55-AF55</f>
        <v/>
      </c>
      <c r="AH64" s="36">
        <f>AH55-AG55</f>
        <v/>
      </c>
      <c r="AI64" s="36">
        <f>AI55-AH55</f>
        <v/>
      </c>
      <c r="AJ64" s="36">
        <f>AJ55-AI55</f>
        <v/>
      </c>
      <c r="AK64" s="36">
        <f>AK55-AJ55</f>
        <v/>
      </c>
      <c r="AL64" s="36">
        <f>AL55-AK55</f>
        <v/>
      </c>
      <c r="AN64" s="36">
        <f>SUMIF($O$5:$AL$5,AN$5,$O64:$AL64)</f>
        <v/>
      </c>
      <c r="AO64" s="36">
        <f>SUMIF($O$5:$AL$5,AO$5,$O64:$AL64)</f>
        <v/>
      </c>
    </row>
    <row r="65">
      <c r="A65" s="5" t="inlineStr">
        <is>
          <t>Increase / (decrease) in deferred revenue</t>
        </is>
      </c>
      <c r="B65" s="2" t="inlineStr">
        <is>
          <t>GBP k</t>
        </is>
      </c>
      <c r="O65" s="36">
        <f>O56-N56</f>
        <v/>
      </c>
      <c r="P65" s="36">
        <f>P56-O56</f>
        <v/>
      </c>
      <c r="Q65" s="36">
        <f>Q56-P56</f>
        <v/>
      </c>
      <c r="R65" s="36">
        <f>R56-Q56</f>
        <v/>
      </c>
      <c r="S65" s="36">
        <f>S56-R56</f>
        <v/>
      </c>
      <c r="T65" s="36">
        <f>T56-S56</f>
        <v/>
      </c>
      <c r="U65" s="36">
        <f>U56-T56</f>
        <v/>
      </c>
      <c r="V65" s="36">
        <f>V56-U56</f>
        <v/>
      </c>
      <c r="W65" s="36">
        <f>W56-V56</f>
        <v/>
      </c>
      <c r="X65" s="36">
        <f>X56-W56</f>
        <v/>
      </c>
      <c r="Y65" s="36">
        <f>Y56-X56</f>
        <v/>
      </c>
      <c r="Z65" s="36">
        <f>Z56-Y56</f>
        <v/>
      </c>
      <c r="AA65" s="36">
        <f>AA56-Z56</f>
        <v/>
      </c>
      <c r="AB65" s="36">
        <f>AB56-AA56</f>
        <v/>
      </c>
      <c r="AC65" s="36">
        <f>AC56-AB56</f>
        <v/>
      </c>
      <c r="AD65" s="36">
        <f>AD56-AC56</f>
        <v/>
      </c>
      <c r="AE65" s="36">
        <f>AE56-AD56</f>
        <v/>
      </c>
      <c r="AF65" s="36">
        <f>AF56-AE56</f>
        <v/>
      </c>
      <c r="AG65" s="36">
        <f>AG56-AF56</f>
        <v/>
      </c>
      <c r="AH65" s="36">
        <f>AH56-AG56</f>
        <v/>
      </c>
      <c r="AI65" s="36">
        <f>AI56-AH56</f>
        <v/>
      </c>
      <c r="AJ65" s="36">
        <f>AJ56-AI56</f>
        <v/>
      </c>
      <c r="AK65" s="36">
        <f>AK56-AJ56</f>
        <v/>
      </c>
      <c r="AL65" s="36">
        <f>AL56-AK56</f>
        <v/>
      </c>
      <c r="AN65" s="36">
        <f>SUMIF($O$5:$AL$5,AN$5,$O65:$AL65)</f>
        <v/>
      </c>
      <c r="AO65" s="36">
        <f>SUMIF($O$5:$AL$5,AO$5,$O65:$AL65)</f>
        <v/>
      </c>
    </row>
    <row r="66">
      <c r="A66" s="37" t="inlineStr">
        <is>
          <t>Net cash flow (net income + non-cash + working capital - capex)</t>
        </is>
      </c>
      <c r="B66" s="38" t="inlineStr">
        <is>
          <t>GBP k</t>
        </is>
      </c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40">
        <f>O42+O62+O63+O64+O65-O46</f>
        <v/>
      </c>
      <c r="P66" s="40">
        <f>P42+P62+P63+P64+P65-P46</f>
        <v/>
      </c>
      <c r="Q66" s="40">
        <f>Q42+Q62+Q63+Q64+Q65-Q46</f>
        <v/>
      </c>
      <c r="R66" s="40">
        <f>R42+R62+R63+R64+R65-R46</f>
        <v/>
      </c>
      <c r="S66" s="40">
        <f>S42+S62+S63+S64+S65-S46</f>
        <v/>
      </c>
      <c r="T66" s="40">
        <f>T42+T62+T63+T64+T65-T46</f>
        <v/>
      </c>
      <c r="U66" s="40">
        <f>U42+U62+U63+U64+U65-U46</f>
        <v/>
      </c>
      <c r="V66" s="40">
        <f>V42+V62+V63+V64+V65-V46</f>
        <v/>
      </c>
      <c r="W66" s="40">
        <f>W42+W62+W63+W64+W65-W46</f>
        <v/>
      </c>
      <c r="X66" s="40">
        <f>X42+X62+X63+X64+X65-X46</f>
        <v/>
      </c>
      <c r="Y66" s="40">
        <f>Y42+Y62+Y63+Y64+Y65-Y46</f>
        <v/>
      </c>
      <c r="Z66" s="40">
        <f>Z42+Z62+Z63+Z64+Z65-Z46</f>
        <v/>
      </c>
      <c r="AA66" s="40">
        <f>AA42+AA62+AA63+AA64+AA65-AA46</f>
        <v/>
      </c>
      <c r="AB66" s="40">
        <f>AB42+AB62+AB63+AB64+AB65-AB46</f>
        <v/>
      </c>
      <c r="AC66" s="40">
        <f>AC42+AC62+AC63+AC64+AC65-AC46</f>
        <v/>
      </c>
      <c r="AD66" s="40">
        <f>AD42+AD62+AD63+AD64+AD65-AD46</f>
        <v/>
      </c>
      <c r="AE66" s="40">
        <f>AE42+AE62+AE63+AE64+AE65-AE46</f>
        <v/>
      </c>
      <c r="AF66" s="40">
        <f>AF42+AF62+AF63+AF64+AF65-AF46</f>
        <v/>
      </c>
      <c r="AG66" s="40">
        <f>AG42+AG62+AG63+AG64+AG65-AG46</f>
        <v/>
      </c>
      <c r="AH66" s="40">
        <f>AH42+AH62+AH63+AH64+AH65-AH46</f>
        <v/>
      </c>
      <c r="AI66" s="40">
        <f>AI42+AI62+AI63+AI64+AI65-AI46</f>
        <v/>
      </c>
      <c r="AJ66" s="40">
        <f>AJ42+AJ62+AJ63+AJ64+AJ65-AJ46</f>
        <v/>
      </c>
      <c r="AK66" s="40">
        <f>AK42+AK62+AK63+AK64+AK65-AK46</f>
        <v/>
      </c>
      <c r="AL66" s="40">
        <f>AL42+AL62+AL63+AL64+AL65-AL46</f>
        <v/>
      </c>
      <c r="AM66" s="39" t="n"/>
      <c r="AN66" s="40">
        <f>SUMIF($O$5:$AL$5,AN$5,$O66:$AL66)</f>
        <v/>
      </c>
      <c r="AO66" s="40">
        <f>SUMIF($O$5:$AL$5,AO$5,$O66:$AL66)</f>
        <v/>
      </c>
    </row>
    <row r="67">
      <c r="A67" s="5" t="inlineStr">
        <is>
          <t>Opening cash</t>
        </is>
      </c>
      <c r="B67" s="2" t="inlineStr">
        <is>
          <t>GBP k</t>
        </is>
      </c>
      <c r="O67" s="36">
        <f>N68</f>
        <v/>
      </c>
      <c r="P67" s="36">
        <f>O68</f>
        <v/>
      </c>
      <c r="Q67" s="36">
        <f>P68</f>
        <v/>
      </c>
      <c r="R67" s="36">
        <f>Q68</f>
        <v/>
      </c>
      <c r="S67" s="36">
        <f>R68</f>
        <v/>
      </c>
      <c r="T67" s="36">
        <f>S68</f>
        <v/>
      </c>
      <c r="U67" s="36">
        <f>T68</f>
        <v/>
      </c>
      <c r="V67" s="36">
        <f>U68</f>
        <v/>
      </c>
      <c r="W67" s="36">
        <f>V68</f>
        <v/>
      </c>
      <c r="X67" s="36">
        <f>W68</f>
        <v/>
      </c>
      <c r="Y67" s="36">
        <f>X68</f>
        <v/>
      </c>
      <c r="Z67" s="36">
        <f>Y68</f>
        <v/>
      </c>
      <c r="AA67" s="36">
        <f>Z68</f>
        <v/>
      </c>
      <c r="AB67" s="36">
        <f>AA68</f>
        <v/>
      </c>
      <c r="AC67" s="36">
        <f>AB68</f>
        <v/>
      </c>
      <c r="AD67" s="36">
        <f>AC68</f>
        <v/>
      </c>
      <c r="AE67" s="36">
        <f>AD68</f>
        <v/>
      </c>
      <c r="AF67" s="36">
        <f>AE68</f>
        <v/>
      </c>
      <c r="AG67" s="36">
        <f>AF68</f>
        <v/>
      </c>
      <c r="AH67" s="36">
        <f>AG68</f>
        <v/>
      </c>
      <c r="AI67" s="36">
        <f>AH68</f>
        <v/>
      </c>
      <c r="AJ67" s="36">
        <f>AI68</f>
        <v/>
      </c>
      <c r="AK67" s="36">
        <f>AJ68</f>
        <v/>
      </c>
      <c r="AL67" s="36">
        <f>AK68</f>
        <v/>
      </c>
      <c r="AN67" s="36">
        <f>INDEX($O67:$AL67,1,(AN$5-1)*12+1)</f>
        <v/>
      </c>
      <c r="AO67" s="36">
        <f>INDEX($O67:$AL67,1,(AO$5-1)*12+1)</f>
        <v/>
      </c>
    </row>
    <row r="68">
      <c r="A68" s="37" t="inlineStr">
        <is>
          <t>Closing cash</t>
        </is>
      </c>
      <c r="B68" s="38" t="inlineStr">
        <is>
          <t>GBP k</t>
        </is>
      </c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40">
        <f>inp_v_open_cash</f>
        <v/>
      </c>
      <c r="O68" s="40">
        <f>O67+O66</f>
        <v/>
      </c>
      <c r="P68" s="40">
        <f>P67+P66</f>
        <v/>
      </c>
      <c r="Q68" s="40">
        <f>Q67+Q66</f>
        <v/>
      </c>
      <c r="R68" s="40">
        <f>R67+R66</f>
        <v/>
      </c>
      <c r="S68" s="40">
        <f>S67+S66</f>
        <v/>
      </c>
      <c r="T68" s="40">
        <f>T67+T66</f>
        <v/>
      </c>
      <c r="U68" s="40">
        <f>U67+U66</f>
        <v/>
      </c>
      <c r="V68" s="40">
        <f>V67+V66</f>
        <v/>
      </c>
      <c r="W68" s="40">
        <f>W67+W66</f>
        <v/>
      </c>
      <c r="X68" s="40">
        <f>X67+X66</f>
        <v/>
      </c>
      <c r="Y68" s="40">
        <f>Y67+Y66</f>
        <v/>
      </c>
      <c r="Z68" s="40">
        <f>Z67+Z66</f>
        <v/>
      </c>
      <c r="AA68" s="40">
        <f>AA67+AA66</f>
        <v/>
      </c>
      <c r="AB68" s="40">
        <f>AB67+AB66</f>
        <v/>
      </c>
      <c r="AC68" s="40">
        <f>AC67+AC66</f>
        <v/>
      </c>
      <c r="AD68" s="40">
        <f>AD67+AD66</f>
        <v/>
      </c>
      <c r="AE68" s="40">
        <f>AE67+AE66</f>
        <v/>
      </c>
      <c r="AF68" s="40">
        <f>AF67+AF66</f>
        <v/>
      </c>
      <c r="AG68" s="40">
        <f>AG67+AG66</f>
        <v/>
      </c>
      <c r="AH68" s="40">
        <f>AH67+AH66</f>
        <v/>
      </c>
      <c r="AI68" s="40">
        <f>AI67+AI66</f>
        <v/>
      </c>
      <c r="AJ68" s="40">
        <f>AJ67+AJ66</f>
        <v/>
      </c>
      <c r="AK68" s="40">
        <f>AK67+AK66</f>
        <v/>
      </c>
      <c r="AL68" s="40">
        <f>AL67+AL66</f>
        <v/>
      </c>
      <c r="AM68" s="39" t="n"/>
      <c r="AN68" s="40">
        <f>INDEX($O68:$AL68,1,AN$5*12)</f>
        <v/>
      </c>
      <c r="AO68" s="40">
        <f>INDEX($O68:$AL68,1,AO$5*12)</f>
        <v/>
      </c>
    </row>
    <row r="69">
      <c r="A69" s="3" t="inlineStr">
        <is>
          <t>Unlevered free cash flow (EBITDA - tax - capex + working capital)</t>
        </is>
      </c>
      <c r="B69" s="2" t="inlineStr">
        <is>
          <t>GBP k</t>
        </is>
      </c>
      <c r="O69" s="42">
        <f>O36-O41-O46+O63+O64+O65</f>
        <v/>
      </c>
      <c r="P69" s="42">
        <f>P36-P41-P46+P63+P64+P65</f>
        <v/>
      </c>
      <c r="Q69" s="42">
        <f>Q36-Q41-Q46+Q63+Q64+Q65</f>
        <v/>
      </c>
      <c r="R69" s="42">
        <f>R36-R41-R46+R63+R64+R65</f>
        <v/>
      </c>
      <c r="S69" s="42">
        <f>S36-S41-S46+S63+S64+S65</f>
        <v/>
      </c>
      <c r="T69" s="42">
        <f>T36-T41-T46+T63+T64+T65</f>
        <v/>
      </c>
      <c r="U69" s="42">
        <f>U36-U41-U46+U63+U64+U65</f>
        <v/>
      </c>
      <c r="V69" s="42">
        <f>V36-V41-V46+V63+V64+V65</f>
        <v/>
      </c>
      <c r="W69" s="42">
        <f>W36-W41-W46+W63+W64+W65</f>
        <v/>
      </c>
      <c r="X69" s="42">
        <f>X36-X41-X46+X63+X64+X65</f>
        <v/>
      </c>
      <c r="Y69" s="42">
        <f>Y36-Y41-Y46+Y63+Y64+Y65</f>
        <v/>
      </c>
      <c r="Z69" s="42">
        <f>Z36-Z41-Z46+Z63+Z64+Z65</f>
        <v/>
      </c>
      <c r="AA69" s="42">
        <f>AA36-AA41-AA46+AA63+AA64+AA65</f>
        <v/>
      </c>
      <c r="AB69" s="42">
        <f>AB36-AB41-AB46+AB63+AB64+AB65</f>
        <v/>
      </c>
      <c r="AC69" s="42">
        <f>AC36-AC41-AC46+AC63+AC64+AC65</f>
        <v/>
      </c>
      <c r="AD69" s="42">
        <f>AD36-AD41-AD46+AD63+AD64+AD65</f>
        <v/>
      </c>
      <c r="AE69" s="42">
        <f>AE36-AE41-AE46+AE63+AE64+AE65</f>
        <v/>
      </c>
      <c r="AF69" s="42">
        <f>AF36-AF41-AF46+AF63+AF64+AF65</f>
        <v/>
      </c>
      <c r="AG69" s="42">
        <f>AG36-AG41-AG46+AG63+AG64+AG65</f>
        <v/>
      </c>
      <c r="AH69" s="42">
        <f>AH36-AH41-AH46+AH63+AH64+AH65</f>
        <v/>
      </c>
      <c r="AI69" s="42">
        <f>AI36-AI41-AI46+AI63+AI64+AI65</f>
        <v/>
      </c>
      <c r="AJ69" s="42">
        <f>AJ36-AJ41-AJ46+AJ63+AJ64+AJ65</f>
        <v/>
      </c>
      <c r="AK69" s="42">
        <f>AK36-AK41-AK46+AK63+AK64+AK65</f>
        <v/>
      </c>
      <c r="AL69" s="42">
        <f>AL36-AL41-AL46+AL63+AL64+AL65</f>
        <v/>
      </c>
      <c r="AN69" s="42">
        <f>SUMIF($O$5:$AL$5,AN$5,$O69:$AL69)</f>
        <v/>
      </c>
      <c r="AO69" s="42">
        <f>SUMIF($O$5:$AL$5,AO$5,$O69:$AL69)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3" customWidth="1" min="2" max="2"/>
    <col width="16" customWidth="1" min="3" max="3"/>
    <col width="16" customWidth="1" min="4" max="4"/>
    <col width="80" customWidth="1" min="5" max="5"/>
  </cols>
  <sheetData>
    <row r="1">
      <c r="A1" s="8" t="inlineStr">
        <is>
          <t>MA_PPA - IFRS 3 purchase price allocation (deal closes at the model's opening date)</t>
        </is>
      </c>
    </row>
    <row r="2">
      <c r="A2" s="2" t="inlineStr">
        <is>
          <t>GBP thousands. Column C = IFRS 3 (acquired deferred revenue at fair value). Column D = US GAAP after ASU 2021-08 (deferred revenue carried over per ASC 606), shown for comparison.</t>
        </is>
      </c>
    </row>
    <row r="4">
      <c r="A4" s="11" t="inlineStr"/>
      <c r="B4" s="12" t="inlineStr"/>
      <c r="C4" s="12" t="inlineStr">
        <is>
          <t>IFRS 3</t>
        </is>
      </c>
      <c r="D4" s="12" t="inlineStr">
        <is>
          <t>US GAAP</t>
        </is>
      </c>
      <c r="E4" s="12" t="inlineStr">
        <is>
          <t>Note</t>
        </is>
      </c>
    </row>
    <row r="5">
      <c r="A5" s="13" t="inlineStr">
        <is>
          <t>Consideration</t>
        </is>
      </c>
      <c r="B5" s="14" t="n"/>
      <c r="C5" s="14" t="n"/>
      <c r="D5" s="14" t="n"/>
      <c r="E5" s="14" t="n"/>
    </row>
    <row r="6">
      <c r="A6" s="5" t="inlineStr">
        <is>
          <t>Vaultline opening ARR</t>
        </is>
      </c>
      <c r="C6" s="19">
        <f>MA_Target!N17</f>
        <v/>
      </c>
      <c r="D6" s="19">
        <f>MA_Target!N17</f>
        <v/>
      </c>
    </row>
    <row r="7">
      <c r="A7" s="5" t="inlineStr">
        <is>
          <t>Offer multiple (EV / ARR)</t>
        </is>
      </c>
      <c r="C7" s="51">
        <f>inp_ma_offer_mult</f>
        <v/>
      </c>
      <c r="D7" s="51">
        <f>inp_ma_offer_mult</f>
        <v/>
      </c>
    </row>
    <row r="8">
      <c r="A8" s="37" t="inlineStr">
        <is>
          <t>Enterprise value offered</t>
        </is>
      </c>
      <c r="C8" s="40">
        <f>C6*C7</f>
        <v/>
      </c>
      <c r="D8" s="40">
        <f>C6*C7</f>
        <v/>
      </c>
    </row>
    <row r="9">
      <c r="A9" s="5" t="inlineStr">
        <is>
          <t>+ Cash acquired (Vaultline has no debt)</t>
        </is>
      </c>
      <c r="C9" s="19">
        <f>MA_Target!N51</f>
        <v/>
      </c>
      <c r="D9" s="19">
        <f>MA_Target!N51</f>
        <v/>
      </c>
    </row>
    <row r="10">
      <c r="A10" s="37" t="inlineStr">
        <is>
          <t>Equity purchase price</t>
        </is>
      </c>
      <c r="C10" s="40">
        <f>C8+C9</f>
        <v/>
      </c>
      <c r="D10" s="40">
        <f>C8+C9</f>
        <v/>
      </c>
    </row>
    <row r="11">
      <c r="A11" s="5" t="inlineStr">
        <is>
          <t>Funded by: acquisition term loan</t>
        </is>
      </c>
      <c r="C11" s="36">
        <f>inp_ma_debt</f>
        <v/>
      </c>
      <c r="D11" s="36">
        <f>inp_ma_debt</f>
        <v/>
      </c>
    </row>
    <row r="12">
      <c r="A12" s="5" t="inlineStr">
        <is>
          <t>Funded by: Northgate cash</t>
        </is>
      </c>
      <c r="C12" s="36">
        <f>C10-C11</f>
        <v/>
      </c>
      <c r="D12" s="36">
        <f>C10-C11</f>
        <v/>
      </c>
      <c r="E12" s="2" t="inlineStr">
        <is>
          <t>Check the Checks tab: pro-forma cash must stay positive</t>
        </is>
      </c>
    </row>
    <row r="13">
      <c r="A13" s="5" t="inlineStr">
        <is>
          <t>Transaction costs (expensed in month 1, not part of consideration)</t>
        </is>
      </c>
      <c r="C13" s="36">
        <f>inp_ma_deal_cost_pct*C8</f>
        <v/>
      </c>
      <c r="D13" s="36">
        <f>inp_ma_deal_cost_pct*C8</f>
        <v/>
      </c>
      <c r="E13" s="2" t="inlineStr">
        <is>
          <t>IFRS 3.53: acquisition-related costs are expensed</t>
        </is>
      </c>
    </row>
    <row r="15">
      <c r="A15" s="13" t="inlineStr">
        <is>
          <t>Net assets acquired at book value</t>
        </is>
      </c>
      <c r="B15" s="14" t="n"/>
      <c r="C15" s="14" t="n"/>
      <c r="D15" s="14" t="n"/>
      <c r="E15" s="14" t="n"/>
    </row>
    <row r="16">
      <c r="A16" s="5" t="inlineStr">
        <is>
          <t>Cash</t>
        </is>
      </c>
      <c r="C16" s="19">
        <f>MA_Target!N51</f>
        <v/>
      </c>
      <c r="D16" s="19">
        <f>MA_Target!N51</f>
        <v/>
      </c>
    </row>
    <row r="17">
      <c r="A17" s="5" t="inlineStr">
        <is>
          <t>Trade receivables</t>
        </is>
      </c>
      <c r="C17" s="19">
        <f>MA_Target!N52</f>
        <v/>
      </c>
      <c r="D17" s="19">
        <f>MA_Target!N52</f>
        <v/>
      </c>
    </row>
    <row r="18">
      <c r="A18" s="5" t="inlineStr">
        <is>
          <t>PP&amp;E</t>
        </is>
      </c>
      <c r="C18" s="19">
        <f>MA_Target!N53</f>
        <v/>
      </c>
      <c r="D18" s="19">
        <f>MA_Target!N53</f>
        <v/>
      </c>
    </row>
    <row r="19">
      <c r="A19" s="5" t="inlineStr">
        <is>
          <t>Trade payables</t>
        </is>
      </c>
      <c r="C19" s="36">
        <f>-MA_Target!N55</f>
        <v/>
      </c>
      <c r="D19" s="36">
        <f>-MA_Target!N55</f>
        <v/>
      </c>
    </row>
    <row r="20">
      <c r="A20" s="5" t="inlineStr">
        <is>
          <t>Deferred revenue (book)</t>
        </is>
      </c>
      <c r="C20" s="36">
        <f>-MA_Target!N56</f>
        <v/>
      </c>
      <c r="D20" s="36">
        <f>-MA_Target!N56</f>
        <v/>
      </c>
    </row>
    <row r="21">
      <c r="A21" s="37" t="inlineStr">
        <is>
          <t>Net assets at book value</t>
        </is>
      </c>
      <c r="C21" s="40">
        <f>SUM(C16:C20)</f>
        <v/>
      </c>
      <c r="D21" s="40">
        <f>SUM(C16:C20)</f>
        <v/>
      </c>
      <c r="E21" s="2" t="inlineStr">
        <is>
          <t>Equals Vaultline's opening equity</t>
        </is>
      </c>
    </row>
    <row r="23">
      <c r="A23" s="13" t="inlineStr">
        <is>
          <t>Fair value adjustments</t>
        </is>
      </c>
      <c r="B23" s="14" t="n"/>
      <c r="C23" s="14" t="n"/>
      <c r="D23" s="14" t="n"/>
      <c r="E23" s="14" t="n"/>
    </row>
    <row r="24">
      <c r="A24" s="5" t="inlineStr">
        <is>
          <t>Deferred revenue: fair-value haircut (reduces the liability)</t>
        </is>
      </c>
      <c r="C24" s="36">
        <f>inp_ma_dr_haircut*-C20</f>
        <v/>
      </c>
      <c r="D24" s="36">
        <f>0</f>
        <v/>
      </c>
      <c r="E24" s="2" t="inlineStr">
        <is>
          <t>IFRS 3 measures it at fair value: less than book. US GAAP (ASU 2021-08) carries it over, so no haircut</t>
        </is>
      </c>
    </row>
    <row r="25">
      <c r="A25" s="5" t="inlineStr">
        <is>
          <t>Customer relationships (intangible)</t>
        </is>
      </c>
      <c r="C25" s="36">
        <f>inp_ma_cr_pct*C8</f>
        <v/>
      </c>
      <c r="D25" s="36">
        <f>inp_ma_cr_pct*C8</f>
        <v/>
      </c>
      <c r="E25" s="2" t="inlineStr">
        <is>
          <t>Amortised straight-line over inp_ma_cr_life</t>
        </is>
      </c>
    </row>
    <row r="26">
      <c r="A26" s="5" t="inlineStr">
        <is>
          <t>Acquired technology (intangible)</t>
        </is>
      </c>
      <c r="C26" s="36">
        <f>inp_ma_tech_pct*C8</f>
        <v/>
      </c>
      <c r="D26" s="36">
        <f>inp_ma_tech_pct*C8</f>
        <v/>
      </c>
      <c r="E26" s="2" t="inlineStr">
        <is>
          <t>Amortised straight-line over inp_ma_tech_life</t>
        </is>
      </c>
    </row>
    <row r="27">
      <c r="A27" s="5" t="inlineStr">
        <is>
          <t>Deferred tax liability on intangibles</t>
        </is>
      </c>
      <c r="C27" s="36">
        <f>-inp_tax*(C25+C26)</f>
        <v/>
      </c>
      <c r="D27" s="36">
        <f>-inp_tax*(C25+C26)</f>
        <v/>
      </c>
      <c r="E27" s="2" t="inlineStr">
        <is>
          <t>Intangibles have no tax base in a share deal, so a DTL is recognised</t>
        </is>
      </c>
    </row>
    <row r="28">
      <c r="A28" s="37" t="inlineStr">
        <is>
          <t>Fair value of identifiable net assets</t>
        </is>
      </c>
      <c r="C28" s="40">
        <f>C21+C24+C25+C26+C27</f>
        <v/>
      </c>
      <c r="D28" s="40">
        <f>D21+D24+D25+D26+D27</f>
        <v/>
      </c>
    </row>
    <row r="30">
      <c r="A30" s="13" t="inlineStr">
        <is>
          <t>Goodwill</t>
        </is>
      </c>
      <c r="B30" s="14" t="n"/>
      <c r="C30" s="14" t="n"/>
      <c r="D30" s="14" t="n"/>
      <c r="E30" s="14" t="n"/>
    </row>
    <row r="31">
      <c r="A31" s="3" t="inlineStr">
        <is>
          <t>Goodwill = equity purchase price - fair value of net assets</t>
        </is>
      </c>
      <c r="C31" s="42">
        <f>C10-C28</f>
        <v/>
      </c>
      <c r="D31" s="42">
        <f>D10-D28</f>
        <v/>
      </c>
      <c r="E31" s="2" t="inlineStr">
        <is>
          <t>Not amortised under IFRS; tested annually for impairment. Positive = goodwill; negative would be a bargain purchase</t>
        </is>
      </c>
    </row>
    <row r="32">
      <c r="A32" s="5" t="inlineStr">
        <is>
          <t>Goodwill as % of equity purchase price</t>
        </is>
      </c>
      <c r="C32" s="35">
        <f>C31/C10</f>
        <v/>
      </c>
      <c r="D32" s="35">
        <f>D31/D10</f>
        <v/>
      </c>
    </row>
    <row r="34">
      <c r="A34" s="13" t="inlineStr">
        <is>
          <t>What the choice of standard changes after closing</t>
        </is>
      </c>
      <c r="B34" s="14" t="n"/>
      <c r="C34" s="14" t="n"/>
      <c r="D34" s="14" t="n"/>
      <c r="E34" s="14" t="n"/>
    </row>
    <row r="35">
      <c r="A35" s="5" t="inlineStr">
        <is>
          <t>Year 1 revenue lost because acquired deferred revenue is written down</t>
        </is>
      </c>
      <c r="C35" s="36">
        <f>C24</f>
        <v/>
      </c>
      <c r="D35" s="36">
        <f>0</f>
        <v/>
      </c>
      <c r="E35" s="2" t="inlineStr">
        <is>
          <t>Unwinds over 12 months. The cash is still collected; reported revenue and EBITDA are lower under IFRS 3</t>
        </is>
      </c>
    </row>
    <row r="36">
      <c r="A36" s="5" t="inlineStr">
        <is>
          <t>Monthly amortisation of acquired intangibles</t>
        </is>
      </c>
      <c r="C36" s="36">
        <f>C25/inp_ma_cr_life+C26/inp_ma_tech_life</f>
        <v/>
      </c>
      <c r="D36" s="36">
        <f>C25/inp_ma_cr_life+C26/inp_ma_tech_life</f>
        <v/>
      </c>
    </row>
    <row r="37">
      <c r="A37" s="5" t="inlineStr">
        <is>
          <t>Annual amortisation of acquired intangibles</t>
        </is>
      </c>
      <c r="C37" s="36">
        <f>C36*12</f>
        <v/>
      </c>
      <c r="D37" s="36">
        <f>C36*12</f>
        <v/>
      </c>
      <c r="E37" s="2" t="inlineStr">
        <is>
          <t>Below EBITDA but reduces operating profit and net income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0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MA_ProForma - Northgate + Vaultline: eliminations, synergies, integration, PPA effects (deal closes at t=0)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Northgate standalone (links)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Northgate ARR: Opening ARR</t>
        </is>
      </c>
      <c r="B9" s="2" t="inlineStr">
        <is>
          <t>GBP k</t>
        </is>
      </c>
      <c r="O9" s="19">
        <f>SaaS_Metrics!O9</f>
        <v/>
      </c>
      <c r="P9" s="19">
        <f>SaaS_Metrics!P9</f>
        <v/>
      </c>
      <c r="Q9" s="19">
        <f>SaaS_Metrics!Q9</f>
        <v/>
      </c>
      <c r="R9" s="19">
        <f>SaaS_Metrics!R9</f>
        <v/>
      </c>
      <c r="S9" s="19">
        <f>SaaS_Metrics!S9</f>
        <v/>
      </c>
      <c r="T9" s="19">
        <f>SaaS_Metrics!T9</f>
        <v/>
      </c>
      <c r="U9" s="19">
        <f>SaaS_Metrics!U9</f>
        <v/>
      </c>
      <c r="V9" s="19">
        <f>SaaS_Metrics!V9</f>
        <v/>
      </c>
      <c r="W9" s="19">
        <f>SaaS_Metrics!W9</f>
        <v/>
      </c>
      <c r="X9" s="19">
        <f>SaaS_Metrics!X9</f>
        <v/>
      </c>
      <c r="Y9" s="19">
        <f>SaaS_Metrics!Y9</f>
        <v/>
      </c>
      <c r="Z9" s="19">
        <f>SaaS_Metrics!Z9</f>
        <v/>
      </c>
      <c r="AA9" s="19">
        <f>SaaS_Metrics!AA9</f>
        <v/>
      </c>
      <c r="AB9" s="19">
        <f>SaaS_Metrics!AB9</f>
        <v/>
      </c>
      <c r="AC9" s="19">
        <f>SaaS_Metrics!AC9</f>
        <v/>
      </c>
      <c r="AD9" s="19">
        <f>SaaS_Metrics!AD9</f>
        <v/>
      </c>
      <c r="AE9" s="19">
        <f>SaaS_Metrics!AE9</f>
        <v/>
      </c>
      <c r="AF9" s="19">
        <f>SaaS_Metrics!AF9</f>
        <v/>
      </c>
      <c r="AG9" s="19">
        <f>SaaS_Metrics!AG9</f>
        <v/>
      </c>
      <c r="AH9" s="19">
        <f>SaaS_Metrics!AH9</f>
        <v/>
      </c>
      <c r="AI9" s="19">
        <f>SaaS_Metrics!AI9</f>
        <v/>
      </c>
      <c r="AJ9" s="19">
        <f>SaaS_Metrics!AJ9</f>
        <v/>
      </c>
      <c r="AK9" s="19">
        <f>SaaS_Metrics!AK9</f>
        <v/>
      </c>
      <c r="AL9" s="19">
        <f>SaaS_Metrics!AL9</f>
        <v/>
      </c>
      <c r="AN9" s="36">
        <f>INDEX($O9:$AL9,1,(AN$5-1)*12+1)</f>
        <v/>
      </c>
      <c r="AO9" s="36">
        <f>INDEX($O9:$AL9,1,(AO$5-1)*12+1)</f>
        <v/>
      </c>
    </row>
    <row r="10">
      <c r="A10" s="5" t="inlineStr">
        <is>
          <t>Northgate ARR: + New logos</t>
        </is>
      </c>
      <c r="B10" s="2" t="inlineStr">
        <is>
          <t>GBP k</t>
        </is>
      </c>
      <c r="O10" s="19">
        <f>SaaS_Metrics!O10</f>
        <v/>
      </c>
      <c r="P10" s="19">
        <f>SaaS_Metrics!P10</f>
        <v/>
      </c>
      <c r="Q10" s="19">
        <f>SaaS_Metrics!Q10</f>
        <v/>
      </c>
      <c r="R10" s="19">
        <f>SaaS_Metrics!R10</f>
        <v/>
      </c>
      <c r="S10" s="19">
        <f>SaaS_Metrics!S10</f>
        <v/>
      </c>
      <c r="T10" s="19">
        <f>SaaS_Metrics!T10</f>
        <v/>
      </c>
      <c r="U10" s="19">
        <f>SaaS_Metrics!U10</f>
        <v/>
      </c>
      <c r="V10" s="19">
        <f>SaaS_Metrics!V10</f>
        <v/>
      </c>
      <c r="W10" s="19">
        <f>SaaS_Metrics!W10</f>
        <v/>
      </c>
      <c r="X10" s="19">
        <f>SaaS_Metrics!X10</f>
        <v/>
      </c>
      <c r="Y10" s="19">
        <f>SaaS_Metrics!Y10</f>
        <v/>
      </c>
      <c r="Z10" s="19">
        <f>SaaS_Metrics!Z10</f>
        <v/>
      </c>
      <c r="AA10" s="19">
        <f>SaaS_Metrics!AA10</f>
        <v/>
      </c>
      <c r="AB10" s="19">
        <f>SaaS_Metrics!AB10</f>
        <v/>
      </c>
      <c r="AC10" s="19">
        <f>SaaS_Metrics!AC10</f>
        <v/>
      </c>
      <c r="AD10" s="19">
        <f>SaaS_Metrics!AD10</f>
        <v/>
      </c>
      <c r="AE10" s="19">
        <f>SaaS_Metrics!AE10</f>
        <v/>
      </c>
      <c r="AF10" s="19">
        <f>SaaS_Metrics!AF10</f>
        <v/>
      </c>
      <c r="AG10" s="19">
        <f>SaaS_Metrics!AG10</f>
        <v/>
      </c>
      <c r="AH10" s="19">
        <f>SaaS_Metrics!AH10</f>
        <v/>
      </c>
      <c r="AI10" s="19">
        <f>SaaS_Metrics!AI10</f>
        <v/>
      </c>
      <c r="AJ10" s="19">
        <f>SaaS_Metrics!AJ10</f>
        <v/>
      </c>
      <c r="AK10" s="19">
        <f>SaaS_Metrics!AK10</f>
        <v/>
      </c>
      <c r="AL10" s="19">
        <f>SaaS_Metrics!AL10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Northgate ARR: + Expansion</t>
        </is>
      </c>
      <c r="B11" s="2" t="inlineStr">
        <is>
          <t>GBP k</t>
        </is>
      </c>
      <c r="O11" s="19">
        <f>SaaS_Metrics!O11</f>
        <v/>
      </c>
      <c r="P11" s="19">
        <f>SaaS_Metrics!P11</f>
        <v/>
      </c>
      <c r="Q11" s="19">
        <f>SaaS_Metrics!Q11</f>
        <v/>
      </c>
      <c r="R11" s="19">
        <f>SaaS_Metrics!R11</f>
        <v/>
      </c>
      <c r="S11" s="19">
        <f>SaaS_Metrics!S11</f>
        <v/>
      </c>
      <c r="T11" s="19">
        <f>SaaS_Metrics!T11</f>
        <v/>
      </c>
      <c r="U11" s="19">
        <f>SaaS_Metrics!U11</f>
        <v/>
      </c>
      <c r="V11" s="19">
        <f>SaaS_Metrics!V11</f>
        <v/>
      </c>
      <c r="W11" s="19">
        <f>SaaS_Metrics!W11</f>
        <v/>
      </c>
      <c r="X11" s="19">
        <f>SaaS_Metrics!X11</f>
        <v/>
      </c>
      <c r="Y11" s="19">
        <f>SaaS_Metrics!Y11</f>
        <v/>
      </c>
      <c r="Z11" s="19">
        <f>SaaS_Metrics!Z11</f>
        <v/>
      </c>
      <c r="AA11" s="19">
        <f>SaaS_Metrics!AA11</f>
        <v/>
      </c>
      <c r="AB11" s="19">
        <f>SaaS_Metrics!AB11</f>
        <v/>
      </c>
      <c r="AC11" s="19">
        <f>SaaS_Metrics!AC11</f>
        <v/>
      </c>
      <c r="AD11" s="19">
        <f>SaaS_Metrics!AD11</f>
        <v/>
      </c>
      <c r="AE11" s="19">
        <f>SaaS_Metrics!AE11</f>
        <v/>
      </c>
      <c r="AF11" s="19">
        <f>SaaS_Metrics!AF11</f>
        <v/>
      </c>
      <c r="AG11" s="19">
        <f>SaaS_Metrics!AG11</f>
        <v/>
      </c>
      <c r="AH11" s="19">
        <f>SaaS_Metrics!AH11</f>
        <v/>
      </c>
      <c r="AI11" s="19">
        <f>SaaS_Metrics!AI11</f>
        <v/>
      </c>
      <c r="AJ11" s="19">
        <f>SaaS_Metrics!AJ11</f>
        <v/>
      </c>
      <c r="AK11" s="19">
        <f>SaaS_Metrics!AK11</f>
        <v/>
      </c>
      <c r="AL11" s="19">
        <f>SaaS_Metrics!AL11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Northgate ARR: - Churn</t>
        </is>
      </c>
      <c r="B12" s="2" t="inlineStr">
        <is>
          <t>GBP k</t>
        </is>
      </c>
      <c r="O12" s="19">
        <f>SaaS_Metrics!O12</f>
        <v/>
      </c>
      <c r="P12" s="19">
        <f>SaaS_Metrics!P12</f>
        <v/>
      </c>
      <c r="Q12" s="19">
        <f>SaaS_Metrics!Q12</f>
        <v/>
      </c>
      <c r="R12" s="19">
        <f>SaaS_Metrics!R12</f>
        <v/>
      </c>
      <c r="S12" s="19">
        <f>SaaS_Metrics!S12</f>
        <v/>
      </c>
      <c r="T12" s="19">
        <f>SaaS_Metrics!T12</f>
        <v/>
      </c>
      <c r="U12" s="19">
        <f>SaaS_Metrics!U12</f>
        <v/>
      </c>
      <c r="V12" s="19">
        <f>SaaS_Metrics!V12</f>
        <v/>
      </c>
      <c r="W12" s="19">
        <f>SaaS_Metrics!W12</f>
        <v/>
      </c>
      <c r="X12" s="19">
        <f>SaaS_Metrics!X12</f>
        <v/>
      </c>
      <c r="Y12" s="19">
        <f>SaaS_Metrics!Y12</f>
        <v/>
      </c>
      <c r="Z12" s="19">
        <f>SaaS_Metrics!Z12</f>
        <v/>
      </c>
      <c r="AA12" s="19">
        <f>SaaS_Metrics!AA12</f>
        <v/>
      </c>
      <c r="AB12" s="19">
        <f>SaaS_Metrics!AB12</f>
        <v/>
      </c>
      <c r="AC12" s="19">
        <f>SaaS_Metrics!AC12</f>
        <v/>
      </c>
      <c r="AD12" s="19">
        <f>SaaS_Metrics!AD12</f>
        <v/>
      </c>
      <c r="AE12" s="19">
        <f>SaaS_Metrics!AE12</f>
        <v/>
      </c>
      <c r="AF12" s="19">
        <f>SaaS_Metrics!AF12</f>
        <v/>
      </c>
      <c r="AG12" s="19">
        <f>SaaS_Metrics!AG12</f>
        <v/>
      </c>
      <c r="AH12" s="19">
        <f>SaaS_Metrics!AH12</f>
        <v/>
      </c>
      <c r="AI12" s="19">
        <f>SaaS_Metrics!AI12</f>
        <v/>
      </c>
      <c r="AJ12" s="19">
        <f>SaaS_Metrics!AJ12</f>
        <v/>
      </c>
      <c r="AK12" s="19">
        <f>SaaS_Metrics!AK12</f>
        <v/>
      </c>
      <c r="AL12" s="19">
        <f>SaaS_Metrics!AL12</f>
        <v/>
      </c>
      <c r="AN12" s="36">
        <f>SUMIF($O$5:$AL$5,AN$5,$O12:$AL12)</f>
        <v/>
      </c>
      <c r="AO12" s="36">
        <f>SUMIF($O$5:$AL$5,AO$5,$O12:$AL12)</f>
        <v/>
      </c>
    </row>
    <row r="13">
      <c r="A13" s="5" t="inlineStr">
        <is>
          <t>Northgate closing ARR</t>
        </is>
      </c>
      <c r="B13" s="2" t="inlineStr">
        <is>
          <t>GBP k</t>
        </is>
      </c>
      <c r="N13" s="19">
        <f>SaaS_Metrics!N13</f>
        <v/>
      </c>
      <c r="O13" s="19">
        <f>SaaS_Metrics!O13</f>
        <v/>
      </c>
      <c r="P13" s="19">
        <f>SaaS_Metrics!P13</f>
        <v/>
      </c>
      <c r="Q13" s="19">
        <f>SaaS_Metrics!Q13</f>
        <v/>
      </c>
      <c r="R13" s="19">
        <f>SaaS_Metrics!R13</f>
        <v/>
      </c>
      <c r="S13" s="19">
        <f>SaaS_Metrics!S13</f>
        <v/>
      </c>
      <c r="T13" s="19">
        <f>SaaS_Metrics!T13</f>
        <v/>
      </c>
      <c r="U13" s="19">
        <f>SaaS_Metrics!U13</f>
        <v/>
      </c>
      <c r="V13" s="19">
        <f>SaaS_Metrics!V13</f>
        <v/>
      </c>
      <c r="W13" s="19">
        <f>SaaS_Metrics!W13</f>
        <v/>
      </c>
      <c r="X13" s="19">
        <f>SaaS_Metrics!X13</f>
        <v/>
      </c>
      <c r="Y13" s="19">
        <f>SaaS_Metrics!Y13</f>
        <v/>
      </c>
      <c r="Z13" s="19">
        <f>SaaS_Metrics!Z13</f>
        <v/>
      </c>
      <c r="AA13" s="19">
        <f>SaaS_Metrics!AA13</f>
        <v/>
      </c>
      <c r="AB13" s="19">
        <f>SaaS_Metrics!AB13</f>
        <v/>
      </c>
      <c r="AC13" s="19">
        <f>SaaS_Metrics!AC13</f>
        <v/>
      </c>
      <c r="AD13" s="19">
        <f>SaaS_Metrics!AD13</f>
        <v/>
      </c>
      <c r="AE13" s="19">
        <f>SaaS_Metrics!AE13</f>
        <v/>
      </c>
      <c r="AF13" s="19">
        <f>SaaS_Metrics!AF13</f>
        <v/>
      </c>
      <c r="AG13" s="19">
        <f>SaaS_Metrics!AG13</f>
        <v/>
      </c>
      <c r="AH13" s="19">
        <f>SaaS_Metrics!AH13</f>
        <v/>
      </c>
      <c r="AI13" s="19">
        <f>SaaS_Metrics!AI13</f>
        <v/>
      </c>
      <c r="AJ13" s="19">
        <f>SaaS_Metrics!AJ13</f>
        <v/>
      </c>
      <c r="AK13" s="19">
        <f>SaaS_Metrics!AK13</f>
        <v/>
      </c>
      <c r="AL13" s="19">
        <f>SaaS_Metrics!AL13</f>
        <v/>
      </c>
      <c r="AN13" s="36">
        <f>INDEX($O13:$AL13,1,AN$5*12)</f>
        <v/>
      </c>
      <c r="AO13" s="36">
        <f>INDEX($O13:$AL13,1,AO$5*12)</f>
        <v/>
      </c>
    </row>
    <row r="14">
      <c r="A14" s="5" t="inlineStr">
        <is>
          <t>Northgate revenue</t>
        </is>
      </c>
      <c r="B14" s="2" t="inlineStr">
        <is>
          <t>GBP k</t>
        </is>
      </c>
      <c r="O14" s="19">
        <f>IS!O12</f>
        <v/>
      </c>
      <c r="P14" s="19">
        <f>IS!P12</f>
        <v/>
      </c>
      <c r="Q14" s="19">
        <f>IS!Q12</f>
        <v/>
      </c>
      <c r="R14" s="19">
        <f>IS!R12</f>
        <v/>
      </c>
      <c r="S14" s="19">
        <f>IS!S12</f>
        <v/>
      </c>
      <c r="T14" s="19">
        <f>IS!T12</f>
        <v/>
      </c>
      <c r="U14" s="19">
        <f>IS!U12</f>
        <v/>
      </c>
      <c r="V14" s="19">
        <f>IS!V12</f>
        <v/>
      </c>
      <c r="W14" s="19">
        <f>IS!W12</f>
        <v/>
      </c>
      <c r="X14" s="19">
        <f>IS!X12</f>
        <v/>
      </c>
      <c r="Y14" s="19">
        <f>IS!Y12</f>
        <v/>
      </c>
      <c r="Z14" s="19">
        <f>IS!Z12</f>
        <v/>
      </c>
      <c r="AA14" s="19">
        <f>IS!AA12</f>
        <v/>
      </c>
      <c r="AB14" s="19">
        <f>IS!AB12</f>
        <v/>
      </c>
      <c r="AC14" s="19">
        <f>IS!AC12</f>
        <v/>
      </c>
      <c r="AD14" s="19">
        <f>IS!AD12</f>
        <v/>
      </c>
      <c r="AE14" s="19">
        <f>IS!AE12</f>
        <v/>
      </c>
      <c r="AF14" s="19">
        <f>IS!AF12</f>
        <v/>
      </c>
      <c r="AG14" s="19">
        <f>IS!AG12</f>
        <v/>
      </c>
      <c r="AH14" s="19">
        <f>IS!AH12</f>
        <v/>
      </c>
      <c r="AI14" s="19">
        <f>IS!AI12</f>
        <v/>
      </c>
      <c r="AJ14" s="19">
        <f>IS!AJ12</f>
        <v/>
      </c>
      <c r="AK14" s="19">
        <f>IS!AK12</f>
        <v/>
      </c>
      <c r="AL14" s="19">
        <f>IS!AL12</f>
        <v/>
      </c>
      <c r="AN14" s="36">
        <f>SUMIF($O$5:$AL$5,AN$5,$O14:$AL14)</f>
        <v/>
      </c>
      <c r="AO14" s="36">
        <f>SUMIF($O$5:$AL$5,AO$5,$O14:$AL14)</f>
        <v/>
      </c>
    </row>
    <row r="15">
      <c r="A15" s="5" t="inlineStr">
        <is>
          <t>Northgate EBITDA</t>
        </is>
      </c>
      <c r="B15" s="2" t="inlineStr">
        <is>
          <t>GBP k</t>
        </is>
      </c>
      <c r="O15" s="19">
        <f>IS!O29</f>
        <v/>
      </c>
      <c r="P15" s="19">
        <f>IS!P29</f>
        <v/>
      </c>
      <c r="Q15" s="19">
        <f>IS!Q29</f>
        <v/>
      </c>
      <c r="R15" s="19">
        <f>IS!R29</f>
        <v/>
      </c>
      <c r="S15" s="19">
        <f>IS!S29</f>
        <v/>
      </c>
      <c r="T15" s="19">
        <f>IS!T29</f>
        <v/>
      </c>
      <c r="U15" s="19">
        <f>IS!U29</f>
        <v/>
      </c>
      <c r="V15" s="19">
        <f>IS!V29</f>
        <v/>
      </c>
      <c r="W15" s="19">
        <f>IS!W29</f>
        <v/>
      </c>
      <c r="X15" s="19">
        <f>IS!X29</f>
        <v/>
      </c>
      <c r="Y15" s="19">
        <f>IS!Y29</f>
        <v/>
      </c>
      <c r="Z15" s="19">
        <f>IS!Z29</f>
        <v/>
      </c>
      <c r="AA15" s="19">
        <f>IS!AA29</f>
        <v/>
      </c>
      <c r="AB15" s="19">
        <f>IS!AB29</f>
        <v/>
      </c>
      <c r="AC15" s="19">
        <f>IS!AC29</f>
        <v/>
      </c>
      <c r="AD15" s="19">
        <f>IS!AD29</f>
        <v/>
      </c>
      <c r="AE15" s="19">
        <f>IS!AE29</f>
        <v/>
      </c>
      <c r="AF15" s="19">
        <f>IS!AF29</f>
        <v/>
      </c>
      <c r="AG15" s="19">
        <f>IS!AG29</f>
        <v/>
      </c>
      <c r="AH15" s="19">
        <f>IS!AH29</f>
        <v/>
      </c>
      <c r="AI15" s="19">
        <f>IS!AI29</f>
        <v/>
      </c>
      <c r="AJ15" s="19">
        <f>IS!AJ29</f>
        <v/>
      </c>
      <c r="AK15" s="19">
        <f>IS!AK29</f>
        <v/>
      </c>
      <c r="AL15" s="19">
        <f>IS!AL29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Northgate net income</t>
        </is>
      </c>
      <c r="B16" s="2" t="inlineStr">
        <is>
          <t>GBP k</t>
        </is>
      </c>
      <c r="O16" s="19">
        <f>IS!O36</f>
        <v/>
      </c>
      <c r="P16" s="19">
        <f>IS!P36</f>
        <v/>
      </c>
      <c r="Q16" s="19">
        <f>IS!Q36</f>
        <v/>
      </c>
      <c r="R16" s="19">
        <f>IS!R36</f>
        <v/>
      </c>
      <c r="S16" s="19">
        <f>IS!S36</f>
        <v/>
      </c>
      <c r="T16" s="19">
        <f>IS!T36</f>
        <v/>
      </c>
      <c r="U16" s="19">
        <f>IS!U36</f>
        <v/>
      </c>
      <c r="V16" s="19">
        <f>IS!V36</f>
        <v/>
      </c>
      <c r="W16" s="19">
        <f>IS!W36</f>
        <v/>
      </c>
      <c r="X16" s="19">
        <f>IS!X36</f>
        <v/>
      </c>
      <c r="Y16" s="19">
        <f>IS!Y36</f>
        <v/>
      </c>
      <c r="Z16" s="19">
        <f>IS!Z36</f>
        <v/>
      </c>
      <c r="AA16" s="19">
        <f>IS!AA36</f>
        <v/>
      </c>
      <c r="AB16" s="19">
        <f>IS!AB36</f>
        <v/>
      </c>
      <c r="AC16" s="19">
        <f>IS!AC36</f>
        <v/>
      </c>
      <c r="AD16" s="19">
        <f>IS!AD36</f>
        <v/>
      </c>
      <c r="AE16" s="19">
        <f>IS!AE36</f>
        <v/>
      </c>
      <c r="AF16" s="19">
        <f>IS!AF36</f>
        <v/>
      </c>
      <c r="AG16" s="19">
        <f>IS!AG36</f>
        <v/>
      </c>
      <c r="AH16" s="19">
        <f>IS!AH36</f>
        <v/>
      </c>
      <c r="AI16" s="19">
        <f>IS!AI36</f>
        <v/>
      </c>
      <c r="AJ16" s="19">
        <f>IS!AJ36</f>
        <v/>
      </c>
      <c r="AK16" s="19">
        <f>IS!AK36</f>
        <v/>
      </c>
      <c r="AL16" s="19">
        <f>IS!AL36</f>
        <v/>
      </c>
      <c r="AN16" s="36">
        <f>SUMIF($O$5:$AL$5,AN$5,$O16:$AL16)</f>
        <v/>
      </c>
      <c r="AO16" s="36">
        <f>SUMIF($O$5:$AL$5,AO$5,$O16:$AL16)</f>
        <v/>
      </c>
    </row>
    <row r="17">
      <c r="A17" s="5" t="inlineStr">
        <is>
          <t>Northgate free cash flow</t>
        </is>
      </c>
      <c r="B17" s="2" t="inlineStr">
        <is>
          <t>GBP k</t>
        </is>
      </c>
      <c r="O17" s="19">
        <f>CF!O22</f>
        <v/>
      </c>
      <c r="P17" s="19">
        <f>CF!P22</f>
        <v/>
      </c>
      <c r="Q17" s="19">
        <f>CF!Q22</f>
        <v/>
      </c>
      <c r="R17" s="19">
        <f>CF!R22</f>
        <v/>
      </c>
      <c r="S17" s="19">
        <f>CF!S22</f>
        <v/>
      </c>
      <c r="T17" s="19">
        <f>CF!T22</f>
        <v/>
      </c>
      <c r="U17" s="19">
        <f>CF!U22</f>
        <v/>
      </c>
      <c r="V17" s="19">
        <f>CF!V22</f>
        <v/>
      </c>
      <c r="W17" s="19">
        <f>CF!W22</f>
        <v/>
      </c>
      <c r="X17" s="19">
        <f>CF!X22</f>
        <v/>
      </c>
      <c r="Y17" s="19">
        <f>CF!Y22</f>
        <v/>
      </c>
      <c r="Z17" s="19">
        <f>CF!Z22</f>
        <v/>
      </c>
      <c r="AA17" s="19">
        <f>CF!AA22</f>
        <v/>
      </c>
      <c r="AB17" s="19">
        <f>CF!AB22</f>
        <v/>
      </c>
      <c r="AC17" s="19">
        <f>CF!AC22</f>
        <v/>
      </c>
      <c r="AD17" s="19">
        <f>CF!AD22</f>
        <v/>
      </c>
      <c r="AE17" s="19">
        <f>CF!AE22</f>
        <v/>
      </c>
      <c r="AF17" s="19">
        <f>CF!AF22</f>
        <v/>
      </c>
      <c r="AG17" s="19">
        <f>CF!AG22</f>
        <v/>
      </c>
      <c r="AH17" s="19">
        <f>CF!AH22</f>
        <v/>
      </c>
      <c r="AI17" s="19">
        <f>CF!AI22</f>
        <v/>
      </c>
      <c r="AJ17" s="19">
        <f>CF!AJ22</f>
        <v/>
      </c>
      <c r="AK17" s="19">
        <f>CF!AK22</f>
        <v/>
      </c>
      <c r="AL17" s="19">
        <f>CF!AL22</f>
        <v/>
      </c>
      <c r="AN17" s="36">
        <f>SUMIF($O$5:$AL$5,AN$5,$O17:$AL17)</f>
        <v/>
      </c>
      <c r="AO17" s="36">
        <f>SUMIF($O$5:$AL$5,AO$5,$O17:$AL17)</f>
        <v/>
      </c>
    </row>
    <row r="18">
      <c r="A18" s="5" t="inlineStr">
        <is>
          <t>Northgate cash</t>
        </is>
      </c>
      <c r="B18" s="2" t="inlineStr">
        <is>
          <t>GBP k</t>
        </is>
      </c>
      <c r="N18" s="19">
        <f>BS!N9</f>
        <v/>
      </c>
      <c r="O18" s="19">
        <f>BS!O9</f>
        <v/>
      </c>
      <c r="P18" s="19">
        <f>BS!P9</f>
        <v/>
      </c>
      <c r="Q18" s="19">
        <f>BS!Q9</f>
        <v/>
      </c>
      <c r="R18" s="19">
        <f>BS!R9</f>
        <v/>
      </c>
      <c r="S18" s="19">
        <f>BS!S9</f>
        <v/>
      </c>
      <c r="T18" s="19">
        <f>BS!T9</f>
        <v/>
      </c>
      <c r="U18" s="19">
        <f>BS!U9</f>
        <v/>
      </c>
      <c r="V18" s="19">
        <f>BS!V9</f>
        <v/>
      </c>
      <c r="W18" s="19">
        <f>BS!W9</f>
        <v/>
      </c>
      <c r="X18" s="19">
        <f>BS!X9</f>
        <v/>
      </c>
      <c r="Y18" s="19">
        <f>BS!Y9</f>
        <v/>
      </c>
      <c r="Z18" s="19">
        <f>BS!Z9</f>
        <v/>
      </c>
      <c r="AA18" s="19">
        <f>BS!AA9</f>
        <v/>
      </c>
      <c r="AB18" s="19">
        <f>BS!AB9</f>
        <v/>
      </c>
      <c r="AC18" s="19">
        <f>BS!AC9</f>
        <v/>
      </c>
      <c r="AD18" s="19">
        <f>BS!AD9</f>
        <v/>
      </c>
      <c r="AE18" s="19">
        <f>BS!AE9</f>
        <v/>
      </c>
      <c r="AF18" s="19">
        <f>BS!AF9</f>
        <v/>
      </c>
      <c r="AG18" s="19">
        <f>BS!AG9</f>
        <v/>
      </c>
      <c r="AH18" s="19">
        <f>BS!AH9</f>
        <v/>
      </c>
      <c r="AI18" s="19">
        <f>BS!AI9</f>
        <v/>
      </c>
      <c r="AJ18" s="19">
        <f>BS!AJ9</f>
        <v/>
      </c>
      <c r="AK18" s="19">
        <f>BS!AK9</f>
        <v/>
      </c>
      <c r="AL18" s="19">
        <f>BS!AL9</f>
        <v/>
      </c>
      <c r="AN18" s="36">
        <f>INDEX($O18:$AL18,1,AN$5*12)</f>
        <v/>
      </c>
      <c r="AO18" s="36">
        <f>INDEX($O18:$AL18,1,AO$5*12)</f>
        <v/>
      </c>
    </row>
    <row r="19">
      <c r="A19" s="5" t="inlineStr">
        <is>
          <t>Northgate receivables</t>
        </is>
      </c>
      <c r="B19" s="2" t="inlineStr">
        <is>
          <t>GBP k</t>
        </is>
      </c>
      <c r="N19" s="19">
        <f>BS!N10</f>
        <v/>
      </c>
      <c r="O19" s="19">
        <f>BS!O10</f>
        <v/>
      </c>
      <c r="P19" s="19">
        <f>BS!P10</f>
        <v/>
      </c>
      <c r="Q19" s="19">
        <f>BS!Q10</f>
        <v/>
      </c>
      <c r="R19" s="19">
        <f>BS!R10</f>
        <v/>
      </c>
      <c r="S19" s="19">
        <f>BS!S10</f>
        <v/>
      </c>
      <c r="T19" s="19">
        <f>BS!T10</f>
        <v/>
      </c>
      <c r="U19" s="19">
        <f>BS!U10</f>
        <v/>
      </c>
      <c r="V19" s="19">
        <f>BS!V10</f>
        <v/>
      </c>
      <c r="W19" s="19">
        <f>BS!W10</f>
        <v/>
      </c>
      <c r="X19" s="19">
        <f>BS!X10</f>
        <v/>
      </c>
      <c r="Y19" s="19">
        <f>BS!Y10</f>
        <v/>
      </c>
      <c r="Z19" s="19">
        <f>BS!Z10</f>
        <v/>
      </c>
      <c r="AA19" s="19">
        <f>BS!AA10</f>
        <v/>
      </c>
      <c r="AB19" s="19">
        <f>BS!AB10</f>
        <v/>
      </c>
      <c r="AC19" s="19">
        <f>BS!AC10</f>
        <v/>
      </c>
      <c r="AD19" s="19">
        <f>BS!AD10</f>
        <v/>
      </c>
      <c r="AE19" s="19">
        <f>BS!AE10</f>
        <v/>
      </c>
      <c r="AF19" s="19">
        <f>BS!AF10</f>
        <v/>
      </c>
      <c r="AG19" s="19">
        <f>BS!AG10</f>
        <v/>
      </c>
      <c r="AH19" s="19">
        <f>BS!AH10</f>
        <v/>
      </c>
      <c r="AI19" s="19">
        <f>BS!AI10</f>
        <v/>
      </c>
      <c r="AJ19" s="19">
        <f>BS!AJ10</f>
        <v/>
      </c>
      <c r="AK19" s="19">
        <f>BS!AK10</f>
        <v/>
      </c>
      <c r="AL19" s="19">
        <f>BS!AL10</f>
        <v/>
      </c>
      <c r="AN19" s="36">
        <f>INDEX($O19:$AL19,1,AN$5*12)</f>
        <v/>
      </c>
      <c r="AO19" s="36">
        <f>INDEX($O19:$AL19,1,AO$5*12)</f>
        <v/>
      </c>
    </row>
    <row r="20">
      <c r="A20" s="5" t="inlineStr">
        <is>
          <t>Northgate PP&amp;E</t>
        </is>
      </c>
      <c r="B20" s="2" t="inlineStr">
        <is>
          <t>GBP k</t>
        </is>
      </c>
      <c r="N20" s="19">
        <f>BS!N11</f>
        <v/>
      </c>
      <c r="O20" s="19">
        <f>BS!O11</f>
        <v/>
      </c>
      <c r="P20" s="19">
        <f>BS!P11</f>
        <v/>
      </c>
      <c r="Q20" s="19">
        <f>BS!Q11</f>
        <v/>
      </c>
      <c r="R20" s="19">
        <f>BS!R11</f>
        <v/>
      </c>
      <c r="S20" s="19">
        <f>BS!S11</f>
        <v/>
      </c>
      <c r="T20" s="19">
        <f>BS!T11</f>
        <v/>
      </c>
      <c r="U20" s="19">
        <f>BS!U11</f>
        <v/>
      </c>
      <c r="V20" s="19">
        <f>BS!V11</f>
        <v/>
      </c>
      <c r="W20" s="19">
        <f>BS!W11</f>
        <v/>
      </c>
      <c r="X20" s="19">
        <f>BS!X11</f>
        <v/>
      </c>
      <c r="Y20" s="19">
        <f>BS!Y11</f>
        <v/>
      </c>
      <c r="Z20" s="19">
        <f>BS!Z11</f>
        <v/>
      </c>
      <c r="AA20" s="19">
        <f>BS!AA11</f>
        <v/>
      </c>
      <c r="AB20" s="19">
        <f>BS!AB11</f>
        <v/>
      </c>
      <c r="AC20" s="19">
        <f>BS!AC11</f>
        <v/>
      </c>
      <c r="AD20" s="19">
        <f>BS!AD11</f>
        <v/>
      </c>
      <c r="AE20" s="19">
        <f>BS!AE11</f>
        <v/>
      </c>
      <c r="AF20" s="19">
        <f>BS!AF11</f>
        <v/>
      </c>
      <c r="AG20" s="19">
        <f>BS!AG11</f>
        <v/>
      </c>
      <c r="AH20" s="19">
        <f>BS!AH11</f>
        <v/>
      </c>
      <c r="AI20" s="19">
        <f>BS!AI11</f>
        <v/>
      </c>
      <c r="AJ20" s="19">
        <f>BS!AJ11</f>
        <v/>
      </c>
      <c r="AK20" s="19">
        <f>BS!AK11</f>
        <v/>
      </c>
      <c r="AL20" s="19">
        <f>BS!AL11</f>
        <v/>
      </c>
      <c r="AN20" s="36">
        <f>INDEX($O20:$AL20,1,AN$5*12)</f>
        <v/>
      </c>
      <c r="AO20" s="36">
        <f>INDEX($O20:$AL20,1,AO$5*12)</f>
        <v/>
      </c>
    </row>
    <row r="21">
      <c r="A21" s="5" t="inlineStr">
        <is>
          <t>Northgate contract-cost asset</t>
        </is>
      </c>
      <c r="B21" s="2" t="inlineStr">
        <is>
          <t>GBP k</t>
        </is>
      </c>
      <c r="N21" s="19">
        <f>BS!N12</f>
        <v/>
      </c>
      <c r="O21" s="19">
        <f>BS!O12</f>
        <v/>
      </c>
      <c r="P21" s="19">
        <f>BS!P12</f>
        <v/>
      </c>
      <c r="Q21" s="19">
        <f>BS!Q12</f>
        <v/>
      </c>
      <c r="R21" s="19">
        <f>BS!R12</f>
        <v/>
      </c>
      <c r="S21" s="19">
        <f>BS!S12</f>
        <v/>
      </c>
      <c r="T21" s="19">
        <f>BS!T12</f>
        <v/>
      </c>
      <c r="U21" s="19">
        <f>BS!U12</f>
        <v/>
      </c>
      <c r="V21" s="19">
        <f>BS!V12</f>
        <v/>
      </c>
      <c r="W21" s="19">
        <f>BS!W12</f>
        <v/>
      </c>
      <c r="X21" s="19">
        <f>BS!X12</f>
        <v/>
      </c>
      <c r="Y21" s="19">
        <f>BS!Y12</f>
        <v/>
      </c>
      <c r="Z21" s="19">
        <f>BS!Z12</f>
        <v/>
      </c>
      <c r="AA21" s="19">
        <f>BS!AA12</f>
        <v/>
      </c>
      <c r="AB21" s="19">
        <f>BS!AB12</f>
        <v/>
      </c>
      <c r="AC21" s="19">
        <f>BS!AC12</f>
        <v/>
      </c>
      <c r="AD21" s="19">
        <f>BS!AD12</f>
        <v/>
      </c>
      <c r="AE21" s="19">
        <f>BS!AE12</f>
        <v/>
      </c>
      <c r="AF21" s="19">
        <f>BS!AF12</f>
        <v/>
      </c>
      <c r="AG21" s="19">
        <f>BS!AG12</f>
        <v/>
      </c>
      <c r="AH21" s="19">
        <f>BS!AH12</f>
        <v/>
      </c>
      <c r="AI21" s="19">
        <f>BS!AI12</f>
        <v/>
      </c>
      <c r="AJ21" s="19">
        <f>BS!AJ12</f>
        <v/>
      </c>
      <c r="AK21" s="19">
        <f>BS!AK12</f>
        <v/>
      </c>
      <c r="AL21" s="19">
        <f>BS!AL12</f>
        <v/>
      </c>
      <c r="AN21" s="36">
        <f>INDEX($O21:$AL21,1,AN$5*12)</f>
        <v/>
      </c>
      <c r="AO21" s="36">
        <f>INDEX($O21:$AL21,1,AO$5*12)</f>
        <v/>
      </c>
    </row>
    <row r="22">
      <c r="A22" s="5" t="inlineStr">
        <is>
          <t>Northgate payables</t>
        </is>
      </c>
      <c r="B22" s="2" t="inlineStr">
        <is>
          <t>GBP k</t>
        </is>
      </c>
      <c r="N22" s="19">
        <f>BS!N16</f>
        <v/>
      </c>
      <c r="O22" s="19">
        <f>BS!O16</f>
        <v/>
      </c>
      <c r="P22" s="19">
        <f>BS!P16</f>
        <v/>
      </c>
      <c r="Q22" s="19">
        <f>BS!Q16</f>
        <v/>
      </c>
      <c r="R22" s="19">
        <f>BS!R16</f>
        <v/>
      </c>
      <c r="S22" s="19">
        <f>BS!S16</f>
        <v/>
      </c>
      <c r="T22" s="19">
        <f>BS!T16</f>
        <v/>
      </c>
      <c r="U22" s="19">
        <f>BS!U16</f>
        <v/>
      </c>
      <c r="V22" s="19">
        <f>BS!V16</f>
        <v/>
      </c>
      <c r="W22" s="19">
        <f>BS!W16</f>
        <v/>
      </c>
      <c r="X22" s="19">
        <f>BS!X16</f>
        <v/>
      </c>
      <c r="Y22" s="19">
        <f>BS!Y16</f>
        <v/>
      </c>
      <c r="Z22" s="19">
        <f>BS!Z16</f>
        <v/>
      </c>
      <c r="AA22" s="19">
        <f>BS!AA16</f>
        <v/>
      </c>
      <c r="AB22" s="19">
        <f>BS!AB16</f>
        <v/>
      </c>
      <c r="AC22" s="19">
        <f>BS!AC16</f>
        <v/>
      </c>
      <c r="AD22" s="19">
        <f>BS!AD16</f>
        <v/>
      </c>
      <c r="AE22" s="19">
        <f>BS!AE16</f>
        <v/>
      </c>
      <c r="AF22" s="19">
        <f>BS!AF16</f>
        <v/>
      </c>
      <c r="AG22" s="19">
        <f>BS!AG16</f>
        <v/>
      </c>
      <c r="AH22" s="19">
        <f>BS!AH16</f>
        <v/>
      </c>
      <c r="AI22" s="19">
        <f>BS!AI16</f>
        <v/>
      </c>
      <c r="AJ22" s="19">
        <f>BS!AJ16</f>
        <v/>
      </c>
      <c r="AK22" s="19">
        <f>BS!AK16</f>
        <v/>
      </c>
      <c r="AL22" s="19">
        <f>BS!AL16</f>
        <v/>
      </c>
      <c r="AN22" s="36">
        <f>INDEX($O22:$AL22,1,AN$5*12)</f>
        <v/>
      </c>
      <c r="AO22" s="36">
        <f>INDEX($O22:$AL22,1,AO$5*12)</f>
        <v/>
      </c>
    </row>
    <row r="23">
      <c r="A23" s="5" t="inlineStr">
        <is>
          <t>Northgate deferred revenue</t>
        </is>
      </c>
      <c r="B23" s="2" t="inlineStr">
        <is>
          <t>GBP k</t>
        </is>
      </c>
      <c r="N23" s="19">
        <f>BS!N17</f>
        <v/>
      </c>
      <c r="O23" s="19">
        <f>BS!O17</f>
        <v/>
      </c>
      <c r="P23" s="19">
        <f>BS!P17</f>
        <v/>
      </c>
      <c r="Q23" s="19">
        <f>BS!Q17</f>
        <v/>
      </c>
      <c r="R23" s="19">
        <f>BS!R17</f>
        <v/>
      </c>
      <c r="S23" s="19">
        <f>BS!S17</f>
        <v/>
      </c>
      <c r="T23" s="19">
        <f>BS!T17</f>
        <v/>
      </c>
      <c r="U23" s="19">
        <f>BS!U17</f>
        <v/>
      </c>
      <c r="V23" s="19">
        <f>BS!V17</f>
        <v/>
      </c>
      <c r="W23" s="19">
        <f>BS!W17</f>
        <v/>
      </c>
      <c r="X23" s="19">
        <f>BS!X17</f>
        <v/>
      </c>
      <c r="Y23" s="19">
        <f>BS!Y17</f>
        <v/>
      </c>
      <c r="Z23" s="19">
        <f>BS!Z17</f>
        <v/>
      </c>
      <c r="AA23" s="19">
        <f>BS!AA17</f>
        <v/>
      </c>
      <c r="AB23" s="19">
        <f>BS!AB17</f>
        <v/>
      </c>
      <c r="AC23" s="19">
        <f>BS!AC17</f>
        <v/>
      </c>
      <c r="AD23" s="19">
        <f>BS!AD17</f>
        <v/>
      </c>
      <c r="AE23" s="19">
        <f>BS!AE17</f>
        <v/>
      </c>
      <c r="AF23" s="19">
        <f>BS!AF17</f>
        <v/>
      </c>
      <c r="AG23" s="19">
        <f>BS!AG17</f>
        <v/>
      </c>
      <c r="AH23" s="19">
        <f>BS!AH17</f>
        <v/>
      </c>
      <c r="AI23" s="19">
        <f>BS!AI17</f>
        <v/>
      </c>
      <c r="AJ23" s="19">
        <f>BS!AJ17</f>
        <v/>
      </c>
      <c r="AK23" s="19">
        <f>BS!AK17</f>
        <v/>
      </c>
      <c r="AL23" s="19">
        <f>BS!AL17</f>
        <v/>
      </c>
      <c r="AN23" s="36">
        <f>INDEX($O23:$AL23,1,AN$5*12)</f>
        <v/>
      </c>
      <c r="AO23" s="36">
        <f>INDEX($O23:$AL23,1,AO$5*12)</f>
        <v/>
      </c>
    </row>
    <row r="24">
      <c r="A24" s="5" t="inlineStr">
        <is>
          <t>Northgate equity</t>
        </is>
      </c>
      <c r="B24" s="2" t="inlineStr">
        <is>
          <t>GBP k</t>
        </is>
      </c>
      <c r="N24" s="19">
        <f>BS!N21</f>
        <v/>
      </c>
      <c r="O24" s="19">
        <f>BS!O21</f>
        <v/>
      </c>
      <c r="P24" s="19">
        <f>BS!P21</f>
        <v/>
      </c>
      <c r="Q24" s="19">
        <f>BS!Q21</f>
        <v/>
      </c>
      <c r="R24" s="19">
        <f>BS!R21</f>
        <v/>
      </c>
      <c r="S24" s="19">
        <f>BS!S21</f>
        <v/>
      </c>
      <c r="T24" s="19">
        <f>BS!T21</f>
        <v/>
      </c>
      <c r="U24" s="19">
        <f>BS!U21</f>
        <v/>
      </c>
      <c r="V24" s="19">
        <f>BS!V21</f>
        <v/>
      </c>
      <c r="W24" s="19">
        <f>BS!W21</f>
        <v/>
      </c>
      <c r="X24" s="19">
        <f>BS!X21</f>
        <v/>
      </c>
      <c r="Y24" s="19">
        <f>BS!Y21</f>
        <v/>
      </c>
      <c r="Z24" s="19">
        <f>BS!Z21</f>
        <v/>
      </c>
      <c r="AA24" s="19">
        <f>BS!AA21</f>
        <v/>
      </c>
      <c r="AB24" s="19">
        <f>BS!AB21</f>
        <v/>
      </c>
      <c r="AC24" s="19">
        <f>BS!AC21</f>
        <v/>
      </c>
      <c r="AD24" s="19">
        <f>BS!AD21</f>
        <v/>
      </c>
      <c r="AE24" s="19">
        <f>BS!AE21</f>
        <v/>
      </c>
      <c r="AF24" s="19">
        <f>BS!AF21</f>
        <v/>
      </c>
      <c r="AG24" s="19">
        <f>BS!AG21</f>
        <v/>
      </c>
      <c r="AH24" s="19">
        <f>BS!AH21</f>
        <v/>
      </c>
      <c r="AI24" s="19">
        <f>BS!AI21</f>
        <v/>
      </c>
      <c r="AJ24" s="19">
        <f>BS!AJ21</f>
        <v/>
      </c>
      <c r="AK24" s="19">
        <f>BS!AK21</f>
        <v/>
      </c>
      <c r="AL24" s="19">
        <f>BS!AL21</f>
        <v/>
      </c>
      <c r="AN24" s="36">
        <f>INDEX($O24:$AL24,1,AN$5*12)</f>
        <v/>
      </c>
      <c r="AO24" s="36">
        <f>INDEX($O24:$AL24,1,AO$5*12)</f>
        <v/>
      </c>
    </row>
    <row r="26">
      <c r="A26" s="13" t="inlineStr">
        <is>
          <t>Vaultline (multiplied by the include switch)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5" t="inlineStr">
        <is>
          <t>Vaultline ARR: Opening ARR</t>
        </is>
      </c>
      <c r="B27" s="2" t="inlineStr">
        <is>
          <t>GBP k</t>
        </is>
      </c>
      <c r="O27" s="36">
        <f>inp_ma_include*MA_Target!O13</f>
        <v/>
      </c>
      <c r="P27" s="36">
        <f>inp_ma_include*MA_Target!P13</f>
        <v/>
      </c>
      <c r="Q27" s="36">
        <f>inp_ma_include*MA_Target!Q13</f>
        <v/>
      </c>
      <c r="R27" s="36">
        <f>inp_ma_include*MA_Target!R13</f>
        <v/>
      </c>
      <c r="S27" s="36">
        <f>inp_ma_include*MA_Target!S13</f>
        <v/>
      </c>
      <c r="T27" s="36">
        <f>inp_ma_include*MA_Target!T13</f>
        <v/>
      </c>
      <c r="U27" s="36">
        <f>inp_ma_include*MA_Target!U13</f>
        <v/>
      </c>
      <c r="V27" s="36">
        <f>inp_ma_include*MA_Target!V13</f>
        <v/>
      </c>
      <c r="W27" s="36">
        <f>inp_ma_include*MA_Target!W13</f>
        <v/>
      </c>
      <c r="X27" s="36">
        <f>inp_ma_include*MA_Target!X13</f>
        <v/>
      </c>
      <c r="Y27" s="36">
        <f>inp_ma_include*MA_Target!Y13</f>
        <v/>
      </c>
      <c r="Z27" s="36">
        <f>inp_ma_include*MA_Target!Z13</f>
        <v/>
      </c>
      <c r="AA27" s="36">
        <f>inp_ma_include*MA_Target!AA13</f>
        <v/>
      </c>
      <c r="AB27" s="36">
        <f>inp_ma_include*MA_Target!AB13</f>
        <v/>
      </c>
      <c r="AC27" s="36">
        <f>inp_ma_include*MA_Target!AC13</f>
        <v/>
      </c>
      <c r="AD27" s="36">
        <f>inp_ma_include*MA_Target!AD13</f>
        <v/>
      </c>
      <c r="AE27" s="36">
        <f>inp_ma_include*MA_Target!AE13</f>
        <v/>
      </c>
      <c r="AF27" s="36">
        <f>inp_ma_include*MA_Target!AF13</f>
        <v/>
      </c>
      <c r="AG27" s="36">
        <f>inp_ma_include*MA_Target!AG13</f>
        <v/>
      </c>
      <c r="AH27" s="36">
        <f>inp_ma_include*MA_Target!AH13</f>
        <v/>
      </c>
      <c r="AI27" s="36">
        <f>inp_ma_include*MA_Target!AI13</f>
        <v/>
      </c>
      <c r="AJ27" s="36">
        <f>inp_ma_include*MA_Target!AJ13</f>
        <v/>
      </c>
      <c r="AK27" s="36">
        <f>inp_ma_include*MA_Target!AK13</f>
        <v/>
      </c>
      <c r="AL27" s="36">
        <f>inp_ma_include*MA_Target!AL13</f>
        <v/>
      </c>
      <c r="AN27" s="36">
        <f>INDEX($O27:$AL27,1,(AN$5-1)*12+1)</f>
        <v/>
      </c>
      <c r="AO27" s="36">
        <f>INDEX($O27:$AL27,1,(AO$5-1)*12+1)</f>
        <v/>
      </c>
    </row>
    <row r="28">
      <c r="A28" s="5" t="inlineStr">
        <is>
          <t>Vaultline ARR: + New logos</t>
        </is>
      </c>
      <c r="B28" s="2" t="inlineStr">
        <is>
          <t>GBP k</t>
        </is>
      </c>
      <c r="O28" s="36">
        <f>inp_ma_include*MA_Target!O14</f>
        <v/>
      </c>
      <c r="P28" s="36">
        <f>inp_ma_include*MA_Target!P14</f>
        <v/>
      </c>
      <c r="Q28" s="36">
        <f>inp_ma_include*MA_Target!Q14</f>
        <v/>
      </c>
      <c r="R28" s="36">
        <f>inp_ma_include*MA_Target!R14</f>
        <v/>
      </c>
      <c r="S28" s="36">
        <f>inp_ma_include*MA_Target!S14</f>
        <v/>
      </c>
      <c r="T28" s="36">
        <f>inp_ma_include*MA_Target!T14</f>
        <v/>
      </c>
      <c r="U28" s="36">
        <f>inp_ma_include*MA_Target!U14</f>
        <v/>
      </c>
      <c r="V28" s="36">
        <f>inp_ma_include*MA_Target!V14</f>
        <v/>
      </c>
      <c r="W28" s="36">
        <f>inp_ma_include*MA_Target!W14</f>
        <v/>
      </c>
      <c r="X28" s="36">
        <f>inp_ma_include*MA_Target!X14</f>
        <v/>
      </c>
      <c r="Y28" s="36">
        <f>inp_ma_include*MA_Target!Y14</f>
        <v/>
      </c>
      <c r="Z28" s="36">
        <f>inp_ma_include*MA_Target!Z14</f>
        <v/>
      </c>
      <c r="AA28" s="36">
        <f>inp_ma_include*MA_Target!AA14</f>
        <v/>
      </c>
      <c r="AB28" s="36">
        <f>inp_ma_include*MA_Target!AB14</f>
        <v/>
      </c>
      <c r="AC28" s="36">
        <f>inp_ma_include*MA_Target!AC14</f>
        <v/>
      </c>
      <c r="AD28" s="36">
        <f>inp_ma_include*MA_Target!AD14</f>
        <v/>
      </c>
      <c r="AE28" s="36">
        <f>inp_ma_include*MA_Target!AE14</f>
        <v/>
      </c>
      <c r="AF28" s="36">
        <f>inp_ma_include*MA_Target!AF14</f>
        <v/>
      </c>
      <c r="AG28" s="36">
        <f>inp_ma_include*MA_Target!AG14</f>
        <v/>
      </c>
      <c r="AH28" s="36">
        <f>inp_ma_include*MA_Target!AH14</f>
        <v/>
      </c>
      <c r="AI28" s="36">
        <f>inp_ma_include*MA_Target!AI14</f>
        <v/>
      </c>
      <c r="AJ28" s="36">
        <f>inp_ma_include*MA_Target!AJ14</f>
        <v/>
      </c>
      <c r="AK28" s="36">
        <f>inp_ma_include*MA_Target!AK14</f>
        <v/>
      </c>
      <c r="AL28" s="36">
        <f>inp_ma_include*MA_Target!AL14</f>
        <v/>
      </c>
      <c r="AN28" s="36">
        <f>SUMIF($O$5:$AL$5,AN$5,$O28:$AL28)</f>
        <v/>
      </c>
      <c r="AO28" s="36">
        <f>SUMIF($O$5:$AL$5,AO$5,$O28:$AL28)</f>
        <v/>
      </c>
    </row>
    <row r="29">
      <c r="A29" s="5" t="inlineStr">
        <is>
          <t>Vaultline ARR: + Expansion</t>
        </is>
      </c>
      <c r="B29" s="2" t="inlineStr">
        <is>
          <t>GBP k</t>
        </is>
      </c>
      <c r="O29" s="36">
        <f>inp_ma_include*MA_Target!O15</f>
        <v/>
      </c>
      <c r="P29" s="36">
        <f>inp_ma_include*MA_Target!P15</f>
        <v/>
      </c>
      <c r="Q29" s="36">
        <f>inp_ma_include*MA_Target!Q15</f>
        <v/>
      </c>
      <c r="R29" s="36">
        <f>inp_ma_include*MA_Target!R15</f>
        <v/>
      </c>
      <c r="S29" s="36">
        <f>inp_ma_include*MA_Target!S15</f>
        <v/>
      </c>
      <c r="T29" s="36">
        <f>inp_ma_include*MA_Target!T15</f>
        <v/>
      </c>
      <c r="U29" s="36">
        <f>inp_ma_include*MA_Target!U15</f>
        <v/>
      </c>
      <c r="V29" s="36">
        <f>inp_ma_include*MA_Target!V15</f>
        <v/>
      </c>
      <c r="W29" s="36">
        <f>inp_ma_include*MA_Target!W15</f>
        <v/>
      </c>
      <c r="X29" s="36">
        <f>inp_ma_include*MA_Target!X15</f>
        <v/>
      </c>
      <c r="Y29" s="36">
        <f>inp_ma_include*MA_Target!Y15</f>
        <v/>
      </c>
      <c r="Z29" s="36">
        <f>inp_ma_include*MA_Target!Z15</f>
        <v/>
      </c>
      <c r="AA29" s="36">
        <f>inp_ma_include*MA_Target!AA15</f>
        <v/>
      </c>
      <c r="AB29" s="36">
        <f>inp_ma_include*MA_Target!AB15</f>
        <v/>
      </c>
      <c r="AC29" s="36">
        <f>inp_ma_include*MA_Target!AC15</f>
        <v/>
      </c>
      <c r="AD29" s="36">
        <f>inp_ma_include*MA_Target!AD15</f>
        <v/>
      </c>
      <c r="AE29" s="36">
        <f>inp_ma_include*MA_Target!AE15</f>
        <v/>
      </c>
      <c r="AF29" s="36">
        <f>inp_ma_include*MA_Target!AF15</f>
        <v/>
      </c>
      <c r="AG29" s="36">
        <f>inp_ma_include*MA_Target!AG15</f>
        <v/>
      </c>
      <c r="AH29" s="36">
        <f>inp_ma_include*MA_Target!AH15</f>
        <v/>
      </c>
      <c r="AI29" s="36">
        <f>inp_ma_include*MA_Target!AI15</f>
        <v/>
      </c>
      <c r="AJ29" s="36">
        <f>inp_ma_include*MA_Target!AJ15</f>
        <v/>
      </c>
      <c r="AK29" s="36">
        <f>inp_ma_include*MA_Target!AK15</f>
        <v/>
      </c>
      <c r="AL29" s="36">
        <f>inp_ma_include*MA_Target!AL15</f>
        <v/>
      </c>
      <c r="AN29" s="36">
        <f>SUMIF($O$5:$AL$5,AN$5,$O29:$AL29)</f>
        <v/>
      </c>
      <c r="AO29" s="36">
        <f>SUMIF($O$5:$AL$5,AO$5,$O29:$AL29)</f>
        <v/>
      </c>
    </row>
    <row r="30">
      <c r="A30" s="5" t="inlineStr">
        <is>
          <t>Vaultline ARR: - Churn</t>
        </is>
      </c>
      <c r="B30" s="2" t="inlineStr">
        <is>
          <t>GBP k</t>
        </is>
      </c>
      <c r="O30" s="36">
        <f>inp_ma_include*MA_Target!O16</f>
        <v/>
      </c>
      <c r="P30" s="36">
        <f>inp_ma_include*MA_Target!P16</f>
        <v/>
      </c>
      <c r="Q30" s="36">
        <f>inp_ma_include*MA_Target!Q16</f>
        <v/>
      </c>
      <c r="R30" s="36">
        <f>inp_ma_include*MA_Target!R16</f>
        <v/>
      </c>
      <c r="S30" s="36">
        <f>inp_ma_include*MA_Target!S16</f>
        <v/>
      </c>
      <c r="T30" s="36">
        <f>inp_ma_include*MA_Target!T16</f>
        <v/>
      </c>
      <c r="U30" s="36">
        <f>inp_ma_include*MA_Target!U16</f>
        <v/>
      </c>
      <c r="V30" s="36">
        <f>inp_ma_include*MA_Target!V16</f>
        <v/>
      </c>
      <c r="W30" s="36">
        <f>inp_ma_include*MA_Target!W16</f>
        <v/>
      </c>
      <c r="X30" s="36">
        <f>inp_ma_include*MA_Target!X16</f>
        <v/>
      </c>
      <c r="Y30" s="36">
        <f>inp_ma_include*MA_Target!Y16</f>
        <v/>
      </c>
      <c r="Z30" s="36">
        <f>inp_ma_include*MA_Target!Z16</f>
        <v/>
      </c>
      <c r="AA30" s="36">
        <f>inp_ma_include*MA_Target!AA16</f>
        <v/>
      </c>
      <c r="AB30" s="36">
        <f>inp_ma_include*MA_Target!AB16</f>
        <v/>
      </c>
      <c r="AC30" s="36">
        <f>inp_ma_include*MA_Target!AC16</f>
        <v/>
      </c>
      <c r="AD30" s="36">
        <f>inp_ma_include*MA_Target!AD16</f>
        <v/>
      </c>
      <c r="AE30" s="36">
        <f>inp_ma_include*MA_Target!AE16</f>
        <v/>
      </c>
      <c r="AF30" s="36">
        <f>inp_ma_include*MA_Target!AF16</f>
        <v/>
      </c>
      <c r="AG30" s="36">
        <f>inp_ma_include*MA_Target!AG16</f>
        <v/>
      </c>
      <c r="AH30" s="36">
        <f>inp_ma_include*MA_Target!AH16</f>
        <v/>
      </c>
      <c r="AI30" s="36">
        <f>inp_ma_include*MA_Target!AI16</f>
        <v/>
      </c>
      <c r="AJ30" s="36">
        <f>inp_ma_include*MA_Target!AJ16</f>
        <v/>
      </c>
      <c r="AK30" s="36">
        <f>inp_ma_include*MA_Target!AK16</f>
        <v/>
      </c>
      <c r="AL30" s="36">
        <f>inp_ma_include*MA_Target!AL16</f>
        <v/>
      </c>
      <c r="AN30" s="36">
        <f>SUMIF($O$5:$AL$5,AN$5,$O30:$AL30)</f>
        <v/>
      </c>
      <c r="AO30" s="36">
        <f>SUMIF($O$5:$AL$5,AO$5,$O30:$AL30)</f>
        <v/>
      </c>
    </row>
    <row r="31">
      <c r="A31" s="5" t="inlineStr">
        <is>
          <t>Vaultline closing ARR</t>
        </is>
      </c>
      <c r="B31" s="2" t="inlineStr">
        <is>
          <t>GBP k</t>
        </is>
      </c>
      <c r="N31" s="36">
        <f>inp_ma_include*MA_Target!N17</f>
        <v/>
      </c>
      <c r="O31" s="36">
        <f>inp_ma_include*MA_Target!O17</f>
        <v/>
      </c>
      <c r="P31" s="36">
        <f>inp_ma_include*MA_Target!P17</f>
        <v/>
      </c>
      <c r="Q31" s="36">
        <f>inp_ma_include*MA_Target!Q17</f>
        <v/>
      </c>
      <c r="R31" s="36">
        <f>inp_ma_include*MA_Target!R17</f>
        <v/>
      </c>
      <c r="S31" s="36">
        <f>inp_ma_include*MA_Target!S17</f>
        <v/>
      </c>
      <c r="T31" s="36">
        <f>inp_ma_include*MA_Target!T17</f>
        <v/>
      </c>
      <c r="U31" s="36">
        <f>inp_ma_include*MA_Target!U17</f>
        <v/>
      </c>
      <c r="V31" s="36">
        <f>inp_ma_include*MA_Target!V17</f>
        <v/>
      </c>
      <c r="W31" s="36">
        <f>inp_ma_include*MA_Target!W17</f>
        <v/>
      </c>
      <c r="X31" s="36">
        <f>inp_ma_include*MA_Target!X17</f>
        <v/>
      </c>
      <c r="Y31" s="36">
        <f>inp_ma_include*MA_Target!Y17</f>
        <v/>
      </c>
      <c r="Z31" s="36">
        <f>inp_ma_include*MA_Target!Z17</f>
        <v/>
      </c>
      <c r="AA31" s="36">
        <f>inp_ma_include*MA_Target!AA17</f>
        <v/>
      </c>
      <c r="AB31" s="36">
        <f>inp_ma_include*MA_Target!AB17</f>
        <v/>
      </c>
      <c r="AC31" s="36">
        <f>inp_ma_include*MA_Target!AC17</f>
        <v/>
      </c>
      <c r="AD31" s="36">
        <f>inp_ma_include*MA_Target!AD17</f>
        <v/>
      </c>
      <c r="AE31" s="36">
        <f>inp_ma_include*MA_Target!AE17</f>
        <v/>
      </c>
      <c r="AF31" s="36">
        <f>inp_ma_include*MA_Target!AF17</f>
        <v/>
      </c>
      <c r="AG31" s="36">
        <f>inp_ma_include*MA_Target!AG17</f>
        <v/>
      </c>
      <c r="AH31" s="36">
        <f>inp_ma_include*MA_Target!AH17</f>
        <v/>
      </c>
      <c r="AI31" s="36">
        <f>inp_ma_include*MA_Target!AI17</f>
        <v/>
      </c>
      <c r="AJ31" s="36">
        <f>inp_ma_include*MA_Target!AJ17</f>
        <v/>
      </c>
      <c r="AK31" s="36">
        <f>inp_ma_include*MA_Target!AK17</f>
        <v/>
      </c>
      <c r="AL31" s="36">
        <f>inp_ma_include*MA_Target!AL17</f>
        <v/>
      </c>
      <c r="AN31" s="36">
        <f>INDEX($O31:$AL31,1,AN$5*12)</f>
        <v/>
      </c>
      <c r="AO31" s="36">
        <f>INDEX($O31:$AL31,1,AO$5*12)</f>
        <v/>
      </c>
    </row>
    <row r="32">
      <c r="A32" s="5" t="inlineStr">
        <is>
          <t>Vaultline revenue</t>
        </is>
      </c>
      <c r="B32" s="2" t="inlineStr">
        <is>
          <t>GBP k</t>
        </is>
      </c>
      <c r="O32" s="36">
        <f>inp_ma_include*MA_Target!O23</f>
        <v/>
      </c>
      <c r="P32" s="36">
        <f>inp_ma_include*MA_Target!P23</f>
        <v/>
      </c>
      <c r="Q32" s="36">
        <f>inp_ma_include*MA_Target!Q23</f>
        <v/>
      </c>
      <c r="R32" s="36">
        <f>inp_ma_include*MA_Target!R23</f>
        <v/>
      </c>
      <c r="S32" s="36">
        <f>inp_ma_include*MA_Target!S23</f>
        <v/>
      </c>
      <c r="T32" s="36">
        <f>inp_ma_include*MA_Target!T23</f>
        <v/>
      </c>
      <c r="U32" s="36">
        <f>inp_ma_include*MA_Target!U23</f>
        <v/>
      </c>
      <c r="V32" s="36">
        <f>inp_ma_include*MA_Target!V23</f>
        <v/>
      </c>
      <c r="W32" s="36">
        <f>inp_ma_include*MA_Target!W23</f>
        <v/>
      </c>
      <c r="X32" s="36">
        <f>inp_ma_include*MA_Target!X23</f>
        <v/>
      </c>
      <c r="Y32" s="36">
        <f>inp_ma_include*MA_Target!Y23</f>
        <v/>
      </c>
      <c r="Z32" s="36">
        <f>inp_ma_include*MA_Target!Z23</f>
        <v/>
      </c>
      <c r="AA32" s="36">
        <f>inp_ma_include*MA_Target!AA23</f>
        <v/>
      </c>
      <c r="AB32" s="36">
        <f>inp_ma_include*MA_Target!AB23</f>
        <v/>
      </c>
      <c r="AC32" s="36">
        <f>inp_ma_include*MA_Target!AC23</f>
        <v/>
      </c>
      <c r="AD32" s="36">
        <f>inp_ma_include*MA_Target!AD23</f>
        <v/>
      </c>
      <c r="AE32" s="36">
        <f>inp_ma_include*MA_Target!AE23</f>
        <v/>
      </c>
      <c r="AF32" s="36">
        <f>inp_ma_include*MA_Target!AF23</f>
        <v/>
      </c>
      <c r="AG32" s="36">
        <f>inp_ma_include*MA_Target!AG23</f>
        <v/>
      </c>
      <c r="AH32" s="36">
        <f>inp_ma_include*MA_Target!AH23</f>
        <v/>
      </c>
      <c r="AI32" s="36">
        <f>inp_ma_include*MA_Target!AI23</f>
        <v/>
      </c>
      <c r="AJ32" s="36">
        <f>inp_ma_include*MA_Target!AJ23</f>
        <v/>
      </c>
      <c r="AK32" s="36">
        <f>inp_ma_include*MA_Target!AK23</f>
        <v/>
      </c>
      <c r="AL32" s="36">
        <f>inp_ma_include*MA_Target!AL23</f>
        <v/>
      </c>
      <c r="AN32" s="36">
        <f>SUMIF($O$5:$AL$5,AN$5,$O32:$AL32)</f>
        <v/>
      </c>
      <c r="AO32" s="36">
        <f>SUMIF($O$5:$AL$5,AO$5,$O32:$AL32)</f>
        <v/>
      </c>
    </row>
    <row r="33">
      <c r="A33" s="5" t="inlineStr">
        <is>
          <t>Vaultline EBITDA</t>
        </is>
      </c>
      <c r="B33" s="2" t="inlineStr">
        <is>
          <t>GBP k</t>
        </is>
      </c>
      <c r="O33" s="36">
        <f>inp_ma_include*MA_Target!O36</f>
        <v/>
      </c>
      <c r="P33" s="36">
        <f>inp_ma_include*MA_Target!P36</f>
        <v/>
      </c>
      <c r="Q33" s="36">
        <f>inp_ma_include*MA_Target!Q36</f>
        <v/>
      </c>
      <c r="R33" s="36">
        <f>inp_ma_include*MA_Target!R36</f>
        <v/>
      </c>
      <c r="S33" s="36">
        <f>inp_ma_include*MA_Target!S36</f>
        <v/>
      </c>
      <c r="T33" s="36">
        <f>inp_ma_include*MA_Target!T36</f>
        <v/>
      </c>
      <c r="U33" s="36">
        <f>inp_ma_include*MA_Target!U36</f>
        <v/>
      </c>
      <c r="V33" s="36">
        <f>inp_ma_include*MA_Target!V36</f>
        <v/>
      </c>
      <c r="W33" s="36">
        <f>inp_ma_include*MA_Target!W36</f>
        <v/>
      </c>
      <c r="X33" s="36">
        <f>inp_ma_include*MA_Target!X36</f>
        <v/>
      </c>
      <c r="Y33" s="36">
        <f>inp_ma_include*MA_Target!Y36</f>
        <v/>
      </c>
      <c r="Z33" s="36">
        <f>inp_ma_include*MA_Target!Z36</f>
        <v/>
      </c>
      <c r="AA33" s="36">
        <f>inp_ma_include*MA_Target!AA36</f>
        <v/>
      </c>
      <c r="AB33" s="36">
        <f>inp_ma_include*MA_Target!AB36</f>
        <v/>
      </c>
      <c r="AC33" s="36">
        <f>inp_ma_include*MA_Target!AC36</f>
        <v/>
      </c>
      <c r="AD33" s="36">
        <f>inp_ma_include*MA_Target!AD36</f>
        <v/>
      </c>
      <c r="AE33" s="36">
        <f>inp_ma_include*MA_Target!AE36</f>
        <v/>
      </c>
      <c r="AF33" s="36">
        <f>inp_ma_include*MA_Target!AF36</f>
        <v/>
      </c>
      <c r="AG33" s="36">
        <f>inp_ma_include*MA_Target!AG36</f>
        <v/>
      </c>
      <c r="AH33" s="36">
        <f>inp_ma_include*MA_Target!AH36</f>
        <v/>
      </c>
      <c r="AI33" s="36">
        <f>inp_ma_include*MA_Target!AI36</f>
        <v/>
      </c>
      <c r="AJ33" s="36">
        <f>inp_ma_include*MA_Target!AJ36</f>
        <v/>
      </c>
      <c r="AK33" s="36">
        <f>inp_ma_include*MA_Target!AK36</f>
        <v/>
      </c>
      <c r="AL33" s="36">
        <f>inp_ma_include*MA_Target!AL36</f>
        <v/>
      </c>
      <c r="AN33" s="36">
        <f>SUMIF($O$5:$AL$5,AN$5,$O33:$AL33)</f>
        <v/>
      </c>
      <c r="AO33" s="36">
        <f>SUMIF($O$5:$AL$5,AO$5,$O33:$AL33)</f>
        <v/>
      </c>
    </row>
    <row r="34">
      <c r="A34" s="5" t="inlineStr">
        <is>
          <t>Vaultline net income</t>
        </is>
      </c>
      <c r="B34" s="2" t="inlineStr">
        <is>
          <t>GBP k</t>
        </is>
      </c>
      <c r="O34" s="36">
        <f>inp_ma_include*MA_Target!O42</f>
        <v/>
      </c>
      <c r="P34" s="36">
        <f>inp_ma_include*MA_Target!P42</f>
        <v/>
      </c>
      <c r="Q34" s="36">
        <f>inp_ma_include*MA_Target!Q42</f>
        <v/>
      </c>
      <c r="R34" s="36">
        <f>inp_ma_include*MA_Target!R42</f>
        <v/>
      </c>
      <c r="S34" s="36">
        <f>inp_ma_include*MA_Target!S42</f>
        <v/>
      </c>
      <c r="T34" s="36">
        <f>inp_ma_include*MA_Target!T42</f>
        <v/>
      </c>
      <c r="U34" s="36">
        <f>inp_ma_include*MA_Target!U42</f>
        <v/>
      </c>
      <c r="V34" s="36">
        <f>inp_ma_include*MA_Target!V42</f>
        <v/>
      </c>
      <c r="W34" s="36">
        <f>inp_ma_include*MA_Target!W42</f>
        <v/>
      </c>
      <c r="X34" s="36">
        <f>inp_ma_include*MA_Target!X42</f>
        <v/>
      </c>
      <c r="Y34" s="36">
        <f>inp_ma_include*MA_Target!Y42</f>
        <v/>
      </c>
      <c r="Z34" s="36">
        <f>inp_ma_include*MA_Target!Z42</f>
        <v/>
      </c>
      <c r="AA34" s="36">
        <f>inp_ma_include*MA_Target!AA42</f>
        <v/>
      </c>
      <c r="AB34" s="36">
        <f>inp_ma_include*MA_Target!AB42</f>
        <v/>
      </c>
      <c r="AC34" s="36">
        <f>inp_ma_include*MA_Target!AC42</f>
        <v/>
      </c>
      <c r="AD34" s="36">
        <f>inp_ma_include*MA_Target!AD42</f>
        <v/>
      </c>
      <c r="AE34" s="36">
        <f>inp_ma_include*MA_Target!AE42</f>
        <v/>
      </c>
      <c r="AF34" s="36">
        <f>inp_ma_include*MA_Target!AF42</f>
        <v/>
      </c>
      <c r="AG34" s="36">
        <f>inp_ma_include*MA_Target!AG42</f>
        <v/>
      </c>
      <c r="AH34" s="36">
        <f>inp_ma_include*MA_Target!AH42</f>
        <v/>
      </c>
      <c r="AI34" s="36">
        <f>inp_ma_include*MA_Target!AI42</f>
        <v/>
      </c>
      <c r="AJ34" s="36">
        <f>inp_ma_include*MA_Target!AJ42</f>
        <v/>
      </c>
      <c r="AK34" s="36">
        <f>inp_ma_include*MA_Target!AK42</f>
        <v/>
      </c>
      <c r="AL34" s="36">
        <f>inp_ma_include*MA_Target!AL42</f>
        <v/>
      </c>
      <c r="AN34" s="36">
        <f>SUMIF($O$5:$AL$5,AN$5,$O34:$AL34)</f>
        <v/>
      </c>
      <c r="AO34" s="36">
        <f>SUMIF($O$5:$AL$5,AO$5,$O34:$AL34)</f>
        <v/>
      </c>
    </row>
    <row r="35">
      <c r="A35" s="5" t="inlineStr">
        <is>
          <t>Vaultline free cash flow</t>
        </is>
      </c>
      <c r="B35" s="2" t="inlineStr">
        <is>
          <t>GBP k</t>
        </is>
      </c>
      <c r="O35" s="36">
        <f>inp_ma_include*MA_Target!O66</f>
        <v/>
      </c>
      <c r="P35" s="36">
        <f>inp_ma_include*MA_Target!P66</f>
        <v/>
      </c>
      <c r="Q35" s="36">
        <f>inp_ma_include*MA_Target!Q66</f>
        <v/>
      </c>
      <c r="R35" s="36">
        <f>inp_ma_include*MA_Target!R66</f>
        <v/>
      </c>
      <c r="S35" s="36">
        <f>inp_ma_include*MA_Target!S66</f>
        <v/>
      </c>
      <c r="T35" s="36">
        <f>inp_ma_include*MA_Target!T66</f>
        <v/>
      </c>
      <c r="U35" s="36">
        <f>inp_ma_include*MA_Target!U66</f>
        <v/>
      </c>
      <c r="V35" s="36">
        <f>inp_ma_include*MA_Target!V66</f>
        <v/>
      </c>
      <c r="W35" s="36">
        <f>inp_ma_include*MA_Target!W66</f>
        <v/>
      </c>
      <c r="X35" s="36">
        <f>inp_ma_include*MA_Target!X66</f>
        <v/>
      </c>
      <c r="Y35" s="36">
        <f>inp_ma_include*MA_Target!Y66</f>
        <v/>
      </c>
      <c r="Z35" s="36">
        <f>inp_ma_include*MA_Target!Z66</f>
        <v/>
      </c>
      <c r="AA35" s="36">
        <f>inp_ma_include*MA_Target!AA66</f>
        <v/>
      </c>
      <c r="AB35" s="36">
        <f>inp_ma_include*MA_Target!AB66</f>
        <v/>
      </c>
      <c r="AC35" s="36">
        <f>inp_ma_include*MA_Target!AC66</f>
        <v/>
      </c>
      <c r="AD35" s="36">
        <f>inp_ma_include*MA_Target!AD66</f>
        <v/>
      </c>
      <c r="AE35" s="36">
        <f>inp_ma_include*MA_Target!AE66</f>
        <v/>
      </c>
      <c r="AF35" s="36">
        <f>inp_ma_include*MA_Target!AF66</f>
        <v/>
      </c>
      <c r="AG35" s="36">
        <f>inp_ma_include*MA_Target!AG66</f>
        <v/>
      </c>
      <c r="AH35" s="36">
        <f>inp_ma_include*MA_Target!AH66</f>
        <v/>
      </c>
      <c r="AI35" s="36">
        <f>inp_ma_include*MA_Target!AI66</f>
        <v/>
      </c>
      <c r="AJ35" s="36">
        <f>inp_ma_include*MA_Target!AJ66</f>
        <v/>
      </c>
      <c r="AK35" s="36">
        <f>inp_ma_include*MA_Target!AK66</f>
        <v/>
      </c>
      <c r="AL35" s="36">
        <f>inp_ma_include*MA_Target!AL66</f>
        <v/>
      </c>
      <c r="AN35" s="36">
        <f>SUMIF($O$5:$AL$5,AN$5,$O35:$AL35)</f>
        <v/>
      </c>
      <c r="AO35" s="36">
        <f>SUMIF($O$5:$AL$5,AO$5,$O35:$AL35)</f>
        <v/>
      </c>
    </row>
    <row r="36">
      <c r="A36" s="5" t="inlineStr">
        <is>
          <t>Vaultline cash</t>
        </is>
      </c>
      <c r="B36" s="2" t="inlineStr">
        <is>
          <t>GBP k</t>
        </is>
      </c>
      <c r="N36" s="36">
        <f>inp_ma_include*MA_Target!N51</f>
        <v/>
      </c>
      <c r="O36" s="36">
        <f>inp_ma_include*MA_Target!O51</f>
        <v/>
      </c>
      <c r="P36" s="36">
        <f>inp_ma_include*MA_Target!P51</f>
        <v/>
      </c>
      <c r="Q36" s="36">
        <f>inp_ma_include*MA_Target!Q51</f>
        <v/>
      </c>
      <c r="R36" s="36">
        <f>inp_ma_include*MA_Target!R51</f>
        <v/>
      </c>
      <c r="S36" s="36">
        <f>inp_ma_include*MA_Target!S51</f>
        <v/>
      </c>
      <c r="T36" s="36">
        <f>inp_ma_include*MA_Target!T51</f>
        <v/>
      </c>
      <c r="U36" s="36">
        <f>inp_ma_include*MA_Target!U51</f>
        <v/>
      </c>
      <c r="V36" s="36">
        <f>inp_ma_include*MA_Target!V51</f>
        <v/>
      </c>
      <c r="W36" s="36">
        <f>inp_ma_include*MA_Target!W51</f>
        <v/>
      </c>
      <c r="X36" s="36">
        <f>inp_ma_include*MA_Target!X51</f>
        <v/>
      </c>
      <c r="Y36" s="36">
        <f>inp_ma_include*MA_Target!Y51</f>
        <v/>
      </c>
      <c r="Z36" s="36">
        <f>inp_ma_include*MA_Target!Z51</f>
        <v/>
      </c>
      <c r="AA36" s="36">
        <f>inp_ma_include*MA_Target!AA51</f>
        <v/>
      </c>
      <c r="AB36" s="36">
        <f>inp_ma_include*MA_Target!AB51</f>
        <v/>
      </c>
      <c r="AC36" s="36">
        <f>inp_ma_include*MA_Target!AC51</f>
        <v/>
      </c>
      <c r="AD36" s="36">
        <f>inp_ma_include*MA_Target!AD51</f>
        <v/>
      </c>
      <c r="AE36" s="36">
        <f>inp_ma_include*MA_Target!AE51</f>
        <v/>
      </c>
      <c r="AF36" s="36">
        <f>inp_ma_include*MA_Target!AF51</f>
        <v/>
      </c>
      <c r="AG36" s="36">
        <f>inp_ma_include*MA_Target!AG51</f>
        <v/>
      </c>
      <c r="AH36" s="36">
        <f>inp_ma_include*MA_Target!AH51</f>
        <v/>
      </c>
      <c r="AI36" s="36">
        <f>inp_ma_include*MA_Target!AI51</f>
        <v/>
      </c>
      <c r="AJ36" s="36">
        <f>inp_ma_include*MA_Target!AJ51</f>
        <v/>
      </c>
      <c r="AK36" s="36">
        <f>inp_ma_include*MA_Target!AK51</f>
        <v/>
      </c>
      <c r="AL36" s="36">
        <f>inp_ma_include*MA_Target!AL51</f>
        <v/>
      </c>
      <c r="AN36" s="36">
        <f>INDEX($O36:$AL36,1,AN$5*12)</f>
        <v/>
      </c>
      <c r="AO36" s="36">
        <f>INDEX($O36:$AL36,1,AO$5*12)</f>
        <v/>
      </c>
    </row>
    <row r="37">
      <c r="A37" s="5" t="inlineStr">
        <is>
          <t>Vaultline receivables</t>
        </is>
      </c>
      <c r="B37" s="2" t="inlineStr">
        <is>
          <t>GBP k</t>
        </is>
      </c>
      <c r="N37" s="36">
        <f>inp_ma_include*MA_Target!N52</f>
        <v/>
      </c>
      <c r="O37" s="36">
        <f>inp_ma_include*MA_Target!O52</f>
        <v/>
      </c>
      <c r="P37" s="36">
        <f>inp_ma_include*MA_Target!P52</f>
        <v/>
      </c>
      <c r="Q37" s="36">
        <f>inp_ma_include*MA_Target!Q52</f>
        <v/>
      </c>
      <c r="R37" s="36">
        <f>inp_ma_include*MA_Target!R52</f>
        <v/>
      </c>
      <c r="S37" s="36">
        <f>inp_ma_include*MA_Target!S52</f>
        <v/>
      </c>
      <c r="T37" s="36">
        <f>inp_ma_include*MA_Target!T52</f>
        <v/>
      </c>
      <c r="U37" s="36">
        <f>inp_ma_include*MA_Target!U52</f>
        <v/>
      </c>
      <c r="V37" s="36">
        <f>inp_ma_include*MA_Target!V52</f>
        <v/>
      </c>
      <c r="W37" s="36">
        <f>inp_ma_include*MA_Target!W52</f>
        <v/>
      </c>
      <c r="X37" s="36">
        <f>inp_ma_include*MA_Target!X52</f>
        <v/>
      </c>
      <c r="Y37" s="36">
        <f>inp_ma_include*MA_Target!Y52</f>
        <v/>
      </c>
      <c r="Z37" s="36">
        <f>inp_ma_include*MA_Target!Z52</f>
        <v/>
      </c>
      <c r="AA37" s="36">
        <f>inp_ma_include*MA_Target!AA52</f>
        <v/>
      </c>
      <c r="AB37" s="36">
        <f>inp_ma_include*MA_Target!AB52</f>
        <v/>
      </c>
      <c r="AC37" s="36">
        <f>inp_ma_include*MA_Target!AC52</f>
        <v/>
      </c>
      <c r="AD37" s="36">
        <f>inp_ma_include*MA_Target!AD52</f>
        <v/>
      </c>
      <c r="AE37" s="36">
        <f>inp_ma_include*MA_Target!AE52</f>
        <v/>
      </c>
      <c r="AF37" s="36">
        <f>inp_ma_include*MA_Target!AF52</f>
        <v/>
      </c>
      <c r="AG37" s="36">
        <f>inp_ma_include*MA_Target!AG52</f>
        <v/>
      </c>
      <c r="AH37" s="36">
        <f>inp_ma_include*MA_Target!AH52</f>
        <v/>
      </c>
      <c r="AI37" s="36">
        <f>inp_ma_include*MA_Target!AI52</f>
        <v/>
      </c>
      <c r="AJ37" s="36">
        <f>inp_ma_include*MA_Target!AJ52</f>
        <v/>
      </c>
      <c r="AK37" s="36">
        <f>inp_ma_include*MA_Target!AK52</f>
        <v/>
      </c>
      <c r="AL37" s="36">
        <f>inp_ma_include*MA_Target!AL52</f>
        <v/>
      </c>
      <c r="AN37" s="36">
        <f>INDEX($O37:$AL37,1,AN$5*12)</f>
        <v/>
      </c>
      <c r="AO37" s="36">
        <f>INDEX($O37:$AL37,1,AO$5*12)</f>
        <v/>
      </c>
    </row>
    <row r="38">
      <c r="A38" s="5" t="inlineStr">
        <is>
          <t>Vaultline PP&amp;E</t>
        </is>
      </c>
      <c r="B38" s="2" t="inlineStr">
        <is>
          <t>GBP k</t>
        </is>
      </c>
      <c r="N38" s="36">
        <f>inp_ma_include*MA_Target!N53</f>
        <v/>
      </c>
      <c r="O38" s="36">
        <f>inp_ma_include*MA_Target!O53</f>
        <v/>
      </c>
      <c r="P38" s="36">
        <f>inp_ma_include*MA_Target!P53</f>
        <v/>
      </c>
      <c r="Q38" s="36">
        <f>inp_ma_include*MA_Target!Q53</f>
        <v/>
      </c>
      <c r="R38" s="36">
        <f>inp_ma_include*MA_Target!R53</f>
        <v/>
      </c>
      <c r="S38" s="36">
        <f>inp_ma_include*MA_Target!S53</f>
        <v/>
      </c>
      <c r="T38" s="36">
        <f>inp_ma_include*MA_Target!T53</f>
        <v/>
      </c>
      <c r="U38" s="36">
        <f>inp_ma_include*MA_Target!U53</f>
        <v/>
      </c>
      <c r="V38" s="36">
        <f>inp_ma_include*MA_Target!V53</f>
        <v/>
      </c>
      <c r="W38" s="36">
        <f>inp_ma_include*MA_Target!W53</f>
        <v/>
      </c>
      <c r="X38" s="36">
        <f>inp_ma_include*MA_Target!X53</f>
        <v/>
      </c>
      <c r="Y38" s="36">
        <f>inp_ma_include*MA_Target!Y53</f>
        <v/>
      </c>
      <c r="Z38" s="36">
        <f>inp_ma_include*MA_Target!Z53</f>
        <v/>
      </c>
      <c r="AA38" s="36">
        <f>inp_ma_include*MA_Target!AA53</f>
        <v/>
      </c>
      <c r="AB38" s="36">
        <f>inp_ma_include*MA_Target!AB53</f>
        <v/>
      </c>
      <c r="AC38" s="36">
        <f>inp_ma_include*MA_Target!AC53</f>
        <v/>
      </c>
      <c r="AD38" s="36">
        <f>inp_ma_include*MA_Target!AD53</f>
        <v/>
      </c>
      <c r="AE38" s="36">
        <f>inp_ma_include*MA_Target!AE53</f>
        <v/>
      </c>
      <c r="AF38" s="36">
        <f>inp_ma_include*MA_Target!AF53</f>
        <v/>
      </c>
      <c r="AG38" s="36">
        <f>inp_ma_include*MA_Target!AG53</f>
        <v/>
      </c>
      <c r="AH38" s="36">
        <f>inp_ma_include*MA_Target!AH53</f>
        <v/>
      </c>
      <c r="AI38" s="36">
        <f>inp_ma_include*MA_Target!AI53</f>
        <v/>
      </c>
      <c r="AJ38" s="36">
        <f>inp_ma_include*MA_Target!AJ53</f>
        <v/>
      </c>
      <c r="AK38" s="36">
        <f>inp_ma_include*MA_Target!AK53</f>
        <v/>
      </c>
      <c r="AL38" s="36">
        <f>inp_ma_include*MA_Target!AL53</f>
        <v/>
      </c>
      <c r="AN38" s="36">
        <f>INDEX($O38:$AL38,1,AN$5*12)</f>
        <v/>
      </c>
      <c r="AO38" s="36">
        <f>INDEX($O38:$AL38,1,AO$5*12)</f>
        <v/>
      </c>
    </row>
    <row r="39">
      <c r="A39" s="5" t="inlineStr">
        <is>
          <t>Vaultline payables</t>
        </is>
      </c>
      <c r="B39" s="2" t="inlineStr">
        <is>
          <t>GBP k</t>
        </is>
      </c>
      <c r="N39" s="36">
        <f>inp_ma_include*MA_Target!N55</f>
        <v/>
      </c>
      <c r="O39" s="36">
        <f>inp_ma_include*MA_Target!O55</f>
        <v/>
      </c>
      <c r="P39" s="36">
        <f>inp_ma_include*MA_Target!P55</f>
        <v/>
      </c>
      <c r="Q39" s="36">
        <f>inp_ma_include*MA_Target!Q55</f>
        <v/>
      </c>
      <c r="R39" s="36">
        <f>inp_ma_include*MA_Target!R55</f>
        <v/>
      </c>
      <c r="S39" s="36">
        <f>inp_ma_include*MA_Target!S55</f>
        <v/>
      </c>
      <c r="T39" s="36">
        <f>inp_ma_include*MA_Target!T55</f>
        <v/>
      </c>
      <c r="U39" s="36">
        <f>inp_ma_include*MA_Target!U55</f>
        <v/>
      </c>
      <c r="V39" s="36">
        <f>inp_ma_include*MA_Target!V55</f>
        <v/>
      </c>
      <c r="W39" s="36">
        <f>inp_ma_include*MA_Target!W55</f>
        <v/>
      </c>
      <c r="X39" s="36">
        <f>inp_ma_include*MA_Target!X55</f>
        <v/>
      </c>
      <c r="Y39" s="36">
        <f>inp_ma_include*MA_Target!Y55</f>
        <v/>
      </c>
      <c r="Z39" s="36">
        <f>inp_ma_include*MA_Target!Z55</f>
        <v/>
      </c>
      <c r="AA39" s="36">
        <f>inp_ma_include*MA_Target!AA55</f>
        <v/>
      </c>
      <c r="AB39" s="36">
        <f>inp_ma_include*MA_Target!AB55</f>
        <v/>
      </c>
      <c r="AC39" s="36">
        <f>inp_ma_include*MA_Target!AC55</f>
        <v/>
      </c>
      <c r="AD39" s="36">
        <f>inp_ma_include*MA_Target!AD55</f>
        <v/>
      </c>
      <c r="AE39" s="36">
        <f>inp_ma_include*MA_Target!AE55</f>
        <v/>
      </c>
      <c r="AF39" s="36">
        <f>inp_ma_include*MA_Target!AF55</f>
        <v/>
      </c>
      <c r="AG39" s="36">
        <f>inp_ma_include*MA_Target!AG55</f>
        <v/>
      </c>
      <c r="AH39" s="36">
        <f>inp_ma_include*MA_Target!AH55</f>
        <v/>
      </c>
      <c r="AI39" s="36">
        <f>inp_ma_include*MA_Target!AI55</f>
        <v/>
      </c>
      <c r="AJ39" s="36">
        <f>inp_ma_include*MA_Target!AJ55</f>
        <v/>
      </c>
      <c r="AK39" s="36">
        <f>inp_ma_include*MA_Target!AK55</f>
        <v/>
      </c>
      <c r="AL39" s="36">
        <f>inp_ma_include*MA_Target!AL55</f>
        <v/>
      </c>
      <c r="AN39" s="36">
        <f>INDEX($O39:$AL39,1,AN$5*12)</f>
        <v/>
      </c>
      <c r="AO39" s="36">
        <f>INDEX($O39:$AL39,1,AO$5*12)</f>
        <v/>
      </c>
    </row>
    <row r="40">
      <c r="A40" s="5" t="inlineStr">
        <is>
          <t>Vaultline deferred revenue (book)</t>
        </is>
      </c>
      <c r="B40" s="2" t="inlineStr">
        <is>
          <t>GBP k</t>
        </is>
      </c>
      <c r="N40" s="36">
        <f>inp_ma_include*MA_Target!N56</f>
        <v/>
      </c>
      <c r="O40" s="36">
        <f>inp_ma_include*MA_Target!O56</f>
        <v/>
      </c>
      <c r="P40" s="36">
        <f>inp_ma_include*MA_Target!P56</f>
        <v/>
      </c>
      <c r="Q40" s="36">
        <f>inp_ma_include*MA_Target!Q56</f>
        <v/>
      </c>
      <c r="R40" s="36">
        <f>inp_ma_include*MA_Target!R56</f>
        <v/>
      </c>
      <c r="S40" s="36">
        <f>inp_ma_include*MA_Target!S56</f>
        <v/>
      </c>
      <c r="T40" s="36">
        <f>inp_ma_include*MA_Target!T56</f>
        <v/>
      </c>
      <c r="U40" s="36">
        <f>inp_ma_include*MA_Target!U56</f>
        <v/>
      </c>
      <c r="V40" s="36">
        <f>inp_ma_include*MA_Target!V56</f>
        <v/>
      </c>
      <c r="W40" s="36">
        <f>inp_ma_include*MA_Target!W56</f>
        <v/>
      </c>
      <c r="X40" s="36">
        <f>inp_ma_include*MA_Target!X56</f>
        <v/>
      </c>
      <c r="Y40" s="36">
        <f>inp_ma_include*MA_Target!Y56</f>
        <v/>
      </c>
      <c r="Z40" s="36">
        <f>inp_ma_include*MA_Target!Z56</f>
        <v/>
      </c>
      <c r="AA40" s="36">
        <f>inp_ma_include*MA_Target!AA56</f>
        <v/>
      </c>
      <c r="AB40" s="36">
        <f>inp_ma_include*MA_Target!AB56</f>
        <v/>
      </c>
      <c r="AC40" s="36">
        <f>inp_ma_include*MA_Target!AC56</f>
        <v/>
      </c>
      <c r="AD40" s="36">
        <f>inp_ma_include*MA_Target!AD56</f>
        <v/>
      </c>
      <c r="AE40" s="36">
        <f>inp_ma_include*MA_Target!AE56</f>
        <v/>
      </c>
      <c r="AF40" s="36">
        <f>inp_ma_include*MA_Target!AF56</f>
        <v/>
      </c>
      <c r="AG40" s="36">
        <f>inp_ma_include*MA_Target!AG56</f>
        <v/>
      </c>
      <c r="AH40" s="36">
        <f>inp_ma_include*MA_Target!AH56</f>
        <v/>
      </c>
      <c r="AI40" s="36">
        <f>inp_ma_include*MA_Target!AI56</f>
        <v/>
      </c>
      <c r="AJ40" s="36">
        <f>inp_ma_include*MA_Target!AJ56</f>
        <v/>
      </c>
      <c r="AK40" s="36">
        <f>inp_ma_include*MA_Target!AK56</f>
        <v/>
      </c>
      <c r="AL40" s="36">
        <f>inp_ma_include*MA_Target!AL56</f>
        <v/>
      </c>
      <c r="AN40" s="36">
        <f>INDEX($O40:$AL40,1,AN$5*12)</f>
        <v/>
      </c>
      <c r="AO40" s="36">
        <f>INDEX($O40:$AL40,1,AO$5*12)</f>
        <v/>
      </c>
    </row>
    <row r="42">
      <c r="A42" s="13" t="inlineStr">
        <is>
          <t>Intercompany elimination (Northgate software contract with Vaultline)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5" t="inlineStr">
        <is>
          <t>Eliminate intercompany revenue</t>
        </is>
      </c>
      <c r="B43" s="2" t="inlineStr">
        <is>
          <t>GBP k</t>
        </is>
      </c>
      <c r="O43" s="36">
        <f>-inp_ma_include*inp_ma_ic_annual/12</f>
        <v/>
      </c>
      <c r="P43" s="36">
        <f>-inp_ma_include*inp_ma_ic_annual/12</f>
        <v/>
      </c>
      <c r="Q43" s="36">
        <f>-inp_ma_include*inp_ma_ic_annual/12</f>
        <v/>
      </c>
      <c r="R43" s="36">
        <f>-inp_ma_include*inp_ma_ic_annual/12</f>
        <v/>
      </c>
      <c r="S43" s="36">
        <f>-inp_ma_include*inp_ma_ic_annual/12</f>
        <v/>
      </c>
      <c r="T43" s="36">
        <f>-inp_ma_include*inp_ma_ic_annual/12</f>
        <v/>
      </c>
      <c r="U43" s="36">
        <f>-inp_ma_include*inp_ma_ic_annual/12</f>
        <v/>
      </c>
      <c r="V43" s="36">
        <f>-inp_ma_include*inp_ma_ic_annual/12</f>
        <v/>
      </c>
      <c r="W43" s="36">
        <f>-inp_ma_include*inp_ma_ic_annual/12</f>
        <v/>
      </c>
      <c r="X43" s="36">
        <f>-inp_ma_include*inp_ma_ic_annual/12</f>
        <v/>
      </c>
      <c r="Y43" s="36">
        <f>-inp_ma_include*inp_ma_ic_annual/12</f>
        <v/>
      </c>
      <c r="Z43" s="36">
        <f>-inp_ma_include*inp_ma_ic_annual/12</f>
        <v/>
      </c>
      <c r="AA43" s="36">
        <f>-inp_ma_include*inp_ma_ic_annual/12</f>
        <v/>
      </c>
      <c r="AB43" s="36">
        <f>-inp_ma_include*inp_ma_ic_annual/12</f>
        <v/>
      </c>
      <c r="AC43" s="36">
        <f>-inp_ma_include*inp_ma_ic_annual/12</f>
        <v/>
      </c>
      <c r="AD43" s="36">
        <f>-inp_ma_include*inp_ma_ic_annual/12</f>
        <v/>
      </c>
      <c r="AE43" s="36">
        <f>-inp_ma_include*inp_ma_ic_annual/12</f>
        <v/>
      </c>
      <c r="AF43" s="36">
        <f>-inp_ma_include*inp_ma_ic_annual/12</f>
        <v/>
      </c>
      <c r="AG43" s="36">
        <f>-inp_ma_include*inp_ma_ic_annual/12</f>
        <v/>
      </c>
      <c r="AH43" s="36">
        <f>-inp_ma_include*inp_ma_ic_annual/12</f>
        <v/>
      </c>
      <c r="AI43" s="36">
        <f>-inp_ma_include*inp_ma_ic_annual/12</f>
        <v/>
      </c>
      <c r="AJ43" s="36">
        <f>-inp_ma_include*inp_ma_ic_annual/12</f>
        <v/>
      </c>
      <c r="AK43" s="36">
        <f>-inp_ma_include*inp_ma_ic_annual/12</f>
        <v/>
      </c>
      <c r="AL43" s="36">
        <f>-inp_ma_include*inp_ma_ic_annual/12</f>
        <v/>
      </c>
      <c r="AN43" s="36">
        <f>SUMIF($O$5:$AL$5,AN$5,$O43:$AL43)</f>
        <v/>
      </c>
      <c r="AO43" s="36">
        <f>SUMIF($O$5:$AL$5,AO$5,$O43:$AL43)</f>
        <v/>
      </c>
    </row>
    <row r="44">
      <c r="A44" s="5" t="inlineStr">
        <is>
          <t>Eliminate intercompany cost (EBITDA effect nil)</t>
        </is>
      </c>
      <c r="B44" s="2" t="inlineStr">
        <is>
          <t>GBP k</t>
        </is>
      </c>
      <c r="O44" s="36">
        <f>inp_ma_include*inp_ma_ic_annual/12</f>
        <v/>
      </c>
      <c r="P44" s="36">
        <f>inp_ma_include*inp_ma_ic_annual/12</f>
        <v/>
      </c>
      <c r="Q44" s="36">
        <f>inp_ma_include*inp_ma_ic_annual/12</f>
        <v/>
      </c>
      <c r="R44" s="36">
        <f>inp_ma_include*inp_ma_ic_annual/12</f>
        <v/>
      </c>
      <c r="S44" s="36">
        <f>inp_ma_include*inp_ma_ic_annual/12</f>
        <v/>
      </c>
      <c r="T44" s="36">
        <f>inp_ma_include*inp_ma_ic_annual/12</f>
        <v/>
      </c>
      <c r="U44" s="36">
        <f>inp_ma_include*inp_ma_ic_annual/12</f>
        <v/>
      </c>
      <c r="V44" s="36">
        <f>inp_ma_include*inp_ma_ic_annual/12</f>
        <v/>
      </c>
      <c r="W44" s="36">
        <f>inp_ma_include*inp_ma_ic_annual/12</f>
        <v/>
      </c>
      <c r="X44" s="36">
        <f>inp_ma_include*inp_ma_ic_annual/12</f>
        <v/>
      </c>
      <c r="Y44" s="36">
        <f>inp_ma_include*inp_ma_ic_annual/12</f>
        <v/>
      </c>
      <c r="Z44" s="36">
        <f>inp_ma_include*inp_ma_ic_annual/12</f>
        <v/>
      </c>
      <c r="AA44" s="36">
        <f>inp_ma_include*inp_ma_ic_annual/12</f>
        <v/>
      </c>
      <c r="AB44" s="36">
        <f>inp_ma_include*inp_ma_ic_annual/12</f>
        <v/>
      </c>
      <c r="AC44" s="36">
        <f>inp_ma_include*inp_ma_ic_annual/12</f>
        <v/>
      </c>
      <c r="AD44" s="36">
        <f>inp_ma_include*inp_ma_ic_annual/12</f>
        <v/>
      </c>
      <c r="AE44" s="36">
        <f>inp_ma_include*inp_ma_ic_annual/12</f>
        <v/>
      </c>
      <c r="AF44" s="36">
        <f>inp_ma_include*inp_ma_ic_annual/12</f>
        <v/>
      </c>
      <c r="AG44" s="36">
        <f>inp_ma_include*inp_ma_ic_annual/12</f>
        <v/>
      </c>
      <c r="AH44" s="36">
        <f>inp_ma_include*inp_ma_ic_annual/12</f>
        <v/>
      </c>
      <c r="AI44" s="36">
        <f>inp_ma_include*inp_ma_ic_annual/12</f>
        <v/>
      </c>
      <c r="AJ44" s="36">
        <f>inp_ma_include*inp_ma_ic_annual/12</f>
        <v/>
      </c>
      <c r="AK44" s="36">
        <f>inp_ma_include*inp_ma_ic_annual/12</f>
        <v/>
      </c>
      <c r="AL44" s="36">
        <f>inp_ma_include*inp_ma_ic_annual/12</f>
        <v/>
      </c>
      <c r="AN44" s="36">
        <f>SUMIF($O$5:$AL$5,AN$5,$O44:$AL44)</f>
        <v/>
      </c>
      <c r="AO44" s="36">
        <f>SUMIF($O$5:$AL$5,AO$5,$O44:$AL44)</f>
        <v/>
      </c>
    </row>
    <row r="46">
      <c r="A46" s="13" t="inlineStr">
        <is>
          <t>Synergies at 100% of plan (before include switch and achievement %)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5" t="inlineStr">
        <is>
          <t>Ramp factor</t>
        </is>
      </c>
      <c r="B47" s="2" t="inlineStr">
        <is>
          <t>x</t>
        </is>
      </c>
      <c r="O47" s="33">
        <f>MIN(1,MAX(0,(O$3-inp_ma_syn_start+1)/inp_ma_syn_ramp))</f>
        <v/>
      </c>
      <c r="P47" s="33">
        <f>MIN(1,MAX(0,(P$3-inp_ma_syn_start+1)/inp_ma_syn_ramp))</f>
        <v/>
      </c>
      <c r="Q47" s="33">
        <f>MIN(1,MAX(0,(Q$3-inp_ma_syn_start+1)/inp_ma_syn_ramp))</f>
        <v/>
      </c>
      <c r="R47" s="33">
        <f>MIN(1,MAX(0,(R$3-inp_ma_syn_start+1)/inp_ma_syn_ramp))</f>
        <v/>
      </c>
      <c r="S47" s="33">
        <f>MIN(1,MAX(0,(S$3-inp_ma_syn_start+1)/inp_ma_syn_ramp))</f>
        <v/>
      </c>
      <c r="T47" s="33">
        <f>MIN(1,MAX(0,(T$3-inp_ma_syn_start+1)/inp_ma_syn_ramp))</f>
        <v/>
      </c>
      <c r="U47" s="33">
        <f>MIN(1,MAX(0,(U$3-inp_ma_syn_start+1)/inp_ma_syn_ramp))</f>
        <v/>
      </c>
      <c r="V47" s="33">
        <f>MIN(1,MAX(0,(V$3-inp_ma_syn_start+1)/inp_ma_syn_ramp))</f>
        <v/>
      </c>
      <c r="W47" s="33">
        <f>MIN(1,MAX(0,(W$3-inp_ma_syn_start+1)/inp_ma_syn_ramp))</f>
        <v/>
      </c>
      <c r="X47" s="33">
        <f>MIN(1,MAX(0,(X$3-inp_ma_syn_start+1)/inp_ma_syn_ramp))</f>
        <v/>
      </c>
      <c r="Y47" s="33">
        <f>MIN(1,MAX(0,(Y$3-inp_ma_syn_start+1)/inp_ma_syn_ramp))</f>
        <v/>
      </c>
      <c r="Z47" s="33">
        <f>MIN(1,MAX(0,(Z$3-inp_ma_syn_start+1)/inp_ma_syn_ramp))</f>
        <v/>
      </c>
      <c r="AA47" s="33">
        <f>MIN(1,MAX(0,(AA$3-inp_ma_syn_start+1)/inp_ma_syn_ramp))</f>
        <v/>
      </c>
      <c r="AB47" s="33">
        <f>MIN(1,MAX(0,(AB$3-inp_ma_syn_start+1)/inp_ma_syn_ramp))</f>
        <v/>
      </c>
      <c r="AC47" s="33">
        <f>MIN(1,MAX(0,(AC$3-inp_ma_syn_start+1)/inp_ma_syn_ramp))</f>
        <v/>
      </c>
      <c r="AD47" s="33">
        <f>MIN(1,MAX(0,(AD$3-inp_ma_syn_start+1)/inp_ma_syn_ramp))</f>
        <v/>
      </c>
      <c r="AE47" s="33">
        <f>MIN(1,MAX(0,(AE$3-inp_ma_syn_start+1)/inp_ma_syn_ramp))</f>
        <v/>
      </c>
      <c r="AF47" s="33">
        <f>MIN(1,MAX(0,(AF$3-inp_ma_syn_start+1)/inp_ma_syn_ramp))</f>
        <v/>
      </c>
      <c r="AG47" s="33">
        <f>MIN(1,MAX(0,(AG$3-inp_ma_syn_start+1)/inp_ma_syn_ramp))</f>
        <v/>
      </c>
      <c r="AH47" s="33">
        <f>MIN(1,MAX(0,(AH$3-inp_ma_syn_start+1)/inp_ma_syn_ramp))</f>
        <v/>
      </c>
      <c r="AI47" s="33">
        <f>MIN(1,MAX(0,(AI$3-inp_ma_syn_start+1)/inp_ma_syn_ramp))</f>
        <v/>
      </c>
      <c r="AJ47" s="33">
        <f>MIN(1,MAX(0,(AJ$3-inp_ma_syn_start+1)/inp_ma_syn_ramp))</f>
        <v/>
      </c>
      <c r="AK47" s="33">
        <f>MIN(1,MAX(0,(AK$3-inp_ma_syn_start+1)/inp_ma_syn_ramp))</f>
        <v/>
      </c>
      <c r="AL47" s="33">
        <f>MIN(1,MAX(0,(AL$3-inp_ma_syn_start+1)/inp_ma_syn_ramp))</f>
        <v/>
      </c>
      <c r="AN47" s="33">
        <f>INDEX($O47:$AL47,1,AN$5*12)</f>
        <v/>
      </c>
      <c r="AO47" s="33">
        <f>INDEX($O47:$AL47,1,AO$5*12)</f>
        <v/>
      </c>
    </row>
    <row r="48">
      <c r="A48" s="5" t="inlineStr">
        <is>
          <t>Cross-sell new ARR</t>
        </is>
      </c>
      <c r="B48" s="2" t="inlineStr">
        <is>
          <t>GBP k</t>
        </is>
      </c>
      <c r="O48" s="36">
        <f>inp_ma_xsell_logos_m*inp_ma_xsell_acv*O47</f>
        <v/>
      </c>
      <c r="P48" s="36">
        <f>inp_ma_xsell_logos_m*inp_ma_xsell_acv*P47</f>
        <v/>
      </c>
      <c r="Q48" s="36">
        <f>inp_ma_xsell_logos_m*inp_ma_xsell_acv*Q47</f>
        <v/>
      </c>
      <c r="R48" s="36">
        <f>inp_ma_xsell_logos_m*inp_ma_xsell_acv*R47</f>
        <v/>
      </c>
      <c r="S48" s="36">
        <f>inp_ma_xsell_logos_m*inp_ma_xsell_acv*S47</f>
        <v/>
      </c>
      <c r="T48" s="36">
        <f>inp_ma_xsell_logos_m*inp_ma_xsell_acv*T47</f>
        <v/>
      </c>
      <c r="U48" s="36">
        <f>inp_ma_xsell_logos_m*inp_ma_xsell_acv*U47</f>
        <v/>
      </c>
      <c r="V48" s="36">
        <f>inp_ma_xsell_logos_m*inp_ma_xsell_acv*V47</f>
        <v/>
      </c>
      <c r="W48" s="36">
        <f>inp_ma_xsell_logos_m*inp_ma_xsell_acv*W47</f>
        <v/>
      </c>
      <c r="X48" s="36">
        <f>inp_ma_xsell_logos_m*inp_ma_xsell_acv*X47</f>
        <v/>
      </c>
      <c r="Y48" s="36">
        <f>inp_ma_xsell_logos_m*inp_ma_xsell_acv*Y47</f>
        <v/>
      </c>
      <c r="Z48" s="36">
        <f>inp_ma_xsell_logos_m*inp_ma_xsell_acv*Z47</f>
        <v/>
      </c>
      <c r="AA48" s="36">
        <f>inp_ma_xsell_logos_m*inp_ma_xsell_acv*AA47</f>
        <v/>
      </c>
      <c r="AB48" s="36">
        <f>inp_ma_xsell_logos_m*inp_ma_xsell_acv*AB47</f>
        <v/>
      </c>
      <c r="AC48" s="36">
        <f>inp_ma_xsell_logos_m*inp_ma_xsell_acv*AC47</f>
        <v/>
      </c>
      <c r="AD48" s="36">
        <f>inp_ma_xsell_logos_m*inp_ma_xsell_acv*AD47</f>
        <v/>
      </c>
      <c r="AE48" s="36">
        <f>inp_ma_xsell_logos_m*inp_ma_xsell_acv*AE47</f>
        <v/>
      </c>
      <c r="AF48" s="36">
        <f>inp_ma_xsell_logos_m*inp_ma_xsell_acv*AF47</f>
        <v/>
      </c>
      <c r="AG48" s="36">
        <f>inp_ma_xsell_logos_m*inp_ma_xsell_acv*AG47</f>
        <v/>
      </c>
      <c r="AH48" s="36">
        <f>inp_ma_xsell_logos_m*inp_ma_xsell_acv*AH47</f>
        <v/>
      </c>
      <c r="AI48" s="36">
        <f>inp_ma_xsell_logos_m*inp_ma_xsell_acv*AI47</f>
        <v/>
      </c>
      <c r="AJ48" s="36">
        <f>inp_ma_xsell_logos_m*inp_ma_xsell_acv*AJ47</f>
        <v/>
      </c>
      <c r="AK48" s="36">
        <f>inp_ma_xsell_logos_m*inp_ma_xsell_acv*AK47</f>
        <v/>
      </c>
      <c r="AL48" s="36">
        <f>inp_ma_xsell_logos_m*inp_ma_xsell_acv*AL47</f>
        <v/>
      </c>
      <c r="AN48" s="36">
        <f>SUMIF($O$5:$AL$5,AN$5,$O48:$AL48)</f>
        <v/>
      </c>
      <c r="AO48" s="36">
        <f>SUMIF($O$5:$AL$5,AO$5,$O48:$AL48)</f>
        <v/>
      </c>
    </row>
    <row r="49">
      <c r="A49" s="5" t="inlineStr">
        <is>
          <t>Cross-sell ARR (closing)</t>
        </is>
      </c>
      <c r="B49" s="2" t="inlineStr">
        <is>
          <t>GBP k</t>
        </is>
      </c>
      <c r="N49" s="36">
        <f>0</f>
        <v/>
      </c>
      <c r="O49" s="36">
        <f>N49+O48</f>
        <v/>
      </c>
      <c r="P49" s="36">
        <f>O49+P48</f>
        <v/>
      </c>
      <c r="Q49" s="36">
        <f>P49+Q48</f>
        <v/>
      </c>
      <c r="R49" s="36">
        <f>Q49+R48</f>
        <v/>
      </c>
      <c r="S49" s="36">
        <f>R49+S48</f>
        <v/>
      </c>
      <c r="T49" s="36">
        <f>S49+T48</f>
        <v/>
      </c>
      <c r="U49" s="36">
        <f>T49+U48</f>
        <v/>
      </c>
      <c r="V49" s="36">
        <f>U49+V48</f>
        <v/>
      </c>
      <c r="W49" s="36">
        <f>V49+W48</f>
        <v/>
      </c>
      <c r="X49" s="36">
        <f>W49+X48</f>
        <v/>
      </c>
      <c r="Y49" s="36">
        <f>X49+Y48</f>
        <v/>
      </c>
      <c r="Z49" s="36">
        <f>Y49+Z48</f>
        <v/>
      </c>
      <c r="AA49" s="36">
        <f>Z49+AA48</f>
        <v/>
      </c>
      <c r="AB49" s="36">
        <f>AA49+AB48</f>
        <v/>
      </c>
      <c r="AC49" s="36">
        <f>AB49+AC48</f>
        <v/>
      </c>
      <c r="AD49" s="36">
        <f>AC49+AD48</f>
        <v/>
      </c>
      <c r="AE49" s="36">
        <f>AD49+AE48</f>
        <v/>
      </c>
      <c r="AF49" s="36">
        <f>AE49+AF48</f>
        <v/>
      </c>
      <c r="AG49" s="36">
        <f>AF49+AG48</f>
        <v/>
      </c>
      <c r="AH49" s="36">
        <f>AG49+AH48</f>
        <v/>
      </c>
      <c r="AI49" s="36">
        <f>AH49+AI48</f>
        <v/>
      </c>
      <c r="AJ49" s="36">
        <f>AI49+AJ48</f>
        <v/>
      </c>
      <c r="AK49" s="36">
        <f>AJ49+AK48</f>
        <v/>
      </c>
      <c r="AL49" s="36">
        <f>AK49+AL48</f>
        <v/>
      </c>
      <c r="AN49" s="36">
        <f>INDEX($O49:$AL49,1,AN$5*12)</f>
        <v/>
      </c>
      <c r="AO49" s="36">
        <f>INDEX($O49:$AL49,1,AO$5*12)</f>
        <v/>
      </c>
    </row>
    <row r="50">
      <c r="A50" s="5" t="inlineStr">
        <is>
          <t>Cross-sell revenue</t>
        </is>
      </c>
      <c r="B50" s="2" t="inlineStr">
        <is>
          <t>GBP k</t>
        </is>
      </c>
      <c r="O50" s="36">
        <f>(N49+O49)/2/12</f>
        <v/>
      </c>
      <c r="P50" s="36">
        <f>(O49+P49)/2/12</f>
        <v/>
      </c>
      <c r="Q50" s="36">
        <f>(P49+Q49)/2/12</f>
        <v/>
      </c>
      <c r="R50" s="36">
        <f>(Q49+R49)/2/12</f>
        <v/>
      </c>
      <c r="S50" s="36">
        <f>(R49+S49)/2/12</f>
        <v/>
      </c>
      <c r="T50" s="36">
        <f>(S49+T49)/2/12</f>
        <v/>
      </c>
      <c r="U50" s="36">
        <f>(T49+U49)/2/12</f>
        <v/>
      </c>
      <c r="V50" s="36">
        <f>(U49+V49)/2/12</f>
        <v/>
      </c>
      <c r="W50" s="36">
        <f>(V49+W49)/2/12</f>
        <v/>
      </c>
      <c r="X50" s="36">
        <f>(W49+X49)/2/12</f>
        <v/>
      </c>
      <c r="Y50" s="36">
        <f>(X49+Y49)/2/12</f>
        <v/>
      </c>
      <c r="Z50" s="36">
        <f>(Y49+Z49)/2/12</f>
        <v/>
      </c>
      <c r="AA50" s="36">
        <f>(Z49+AA49)/2/12</f>
        <v/>
      </c>
      <c r="AB50" s="36">
        <f>(AA49+AB49)/2/12</f>
        <v/>
      </c>
      <c r="AC50" s="36">
        <f>(AB49+AC49)/2/12</f>
        <v/>
      </c>
      <c r="AD50" s="36">
        <f>(AC49+AD49)/2/12</f>
        <v/>
      </c>
      <c r="AE50" s="36">
        <f>(AD49+AE49)/2/12</f>
        <v/>
      </c>
      <c r="AF50" s="36">
        <f>(AE49+AF49)/2/12</f>
        <v/>
      </c>
      <c r="AG50" s="36">
        <f>(AF49+AG49)/2/12</f>
        <v/>
      </c>
      <c r="AH50" s="36">
        <f>(AG49+AH49)/2/12</f>
        <v/>
      </c>
      <c r="AI50" s="36">
        <f>(AH49+AI49)/2/12</f>
        <v/>
      </c>
      <c r="AJ50" s="36">
        <f>(AI49+AJ49)/2/12</f>
        <v/>
      </c>
      <c r="AK50" s="36">
        <f>(AJ49+AK49)/2/12</f>
        <v/>
      </c>
      <c r="AL50" s="36">
        <f>(AK49+AL49)/2/12</f>
        <v/>
      </c>
      <c r="AN50" s="36">
        <f>SUMIF($O$5:$AL$5,AN$5,$O50:$AL50)</f>
        <v/>
      </c>
      <c r="AO50" s="36">
        <f>SUMIF($O$5:$AL$5,AO$5,$O50:$AL50)</f>
        <v/>
      </c>
    </row>
    <row r="51">
      <c r="A51" s="5" t="inlineStr">
        <is>
          <t>Cross-sell contribution</t>
        </is>
      </c>
      <c r="B51" s="2" t="inlineStr">
        <is>
          <t>GBP k</t>
        </is>
      </c>
      <c r="O51" s="36">
        <f>O50*inp_ma_syn_margin</f>
        <v/>
      </c>
      <c r="P51" s="36">
        <f>P50*inp_ma_syn_margin</f>
        <v/>
      </c>
      <c r="Q51" s="36">
        <f>Q50*inp_ma_syn_margin</f>
        <v/>
      </c>
      <c r="R51" s="36">
        <f>R50*inp_ma_syn_margin</f>
        <v/>
      </c>
      <c r="S51" s="36">
        <f>S50*inp_ma_syn_margin</f>
        <v/>
      </c>
      <c r="T51" s="36">
        <f>T50*inp_ma_syn_margin</f>
        <v/>
      </c>
      <c r="U51" s="36">
        <f>U50*inp_ma_syn_margin</f>
        <v/>
      </c>
      <c r="V51" s="36">
        <f>V50*inp_ma_syn_margin</f>
        <v/>
      </c>
      <c r="W51" s="36">
        <f>W50*inp_ma_syn_margin</f>
        <v/>
      </c>
      <c r="X51" s="36">
        <f>X50*inp_ma_syn_margin</f>
        <v/>
      </c>
      <c r="Y51" s="36">
        <f>Y50*inp_ma_syn_margin</f>
        <v/>
      </c>
      <c r="Z51" s="36">
        <f>Z50*inp_ma_syn_margin</f>
        <v/>
      </c>
      <c r="AA51" s="36">
        <f>AA50*inp_ma_syn_margin</f>
        <v/>
      </c>
      <c r="AB51" s="36">
        <f>AB50*inp_ma_syn_margin</f>
        <v/>
      </c>
      <c r="AC51" s="36">
        <f>AC50*inp_ma_syn_margin</f>
        <v/>
      </c>
      <c r="AD51" s="36">
        <f>AD50*inp_ma_syn_margin</f>
        <v/>
      </c>
      <c r="AE51" s="36">
        <f>AE50*inp_ma_syn_margin</f>
        <v/>
      </c>
      <c r="AF51" s="36">
        <f>AF50*inp_ma_syn_margin</f>
        <v/>
      </c>
      <c r="AG51" s="36">
        <f>AG50*inp_ma_syn_margin</f>
        <v/>
      </c>
      <c r="AH51" s="36">
        <f>AH50*inp_ma_syn_margin</f>
        <v/>
      </c>
      <c r="AI51" s="36">
        <f>AI50*inp_ma_syn_margin</f>
        <v/>
      </c>
      <c r="AJ51" s="36">
        <f>AJ50*inp_ma_syn_margin</f>
        <v/>
      </c>
      <c r="AK51" s="36">
        <f>AK50*inp_ma_syn_margin</f>
        <v/>
      </c>
      <c r="AL51" s="36">
        <f>AL50*inp_ma_syn_margin</f>
        <v/>
      </c>
      <c r="AN51" s="36">
        <f>SUMIF($O$5:$AL$5,AN$5,$O51:$AL51)</f>
        <v/>
      </c>
      <c r="AO51" s="36">
        <f>SUMIF($O$5:$AL$5,AO$5,$O51:$AL51)</f>
        <v/>
      </c>
    </row>
    <row r="52">
      <c r="A52" s="5" t="inlineStr">
        <is>
          <t>Cost synergies</t>
        </is>
      </c>
      <c r="B52" s="2" t="inlineStr">
        <is>
          <t>GBP k</t>
        </is>
      </c>
      <c r="O52" s="36">
        <f>inp_ma_cost_syn/12*O47</f>
        <v/>
      </c>
      <c r="P52" s="36">
        <f>inp_ma_cost_syn/12*P47</f>
        <v/>
      </c>
      <c r="Q52" s="36">
        <f>inp_ma_cost_syn/12*Q47</f>
        <v/>
      </c>
      <c r="R52" s="36">
        <f>inp_ma_cost_syn/12*R47</f>
        <v/>
      </c>
      <c r="S52" s="36">
        <f>inp_ma_cost_syn/12*S47</f>
        <v/>
      </c>
      <c r="T52" s="36">
        <f>inp_ma_cost_syn/12*T47</f>
        <v/>
      </c>
      <c r="U52" s="36">
        <f>inp_ma_cost_syn/12*U47</f>
        <v/>
      </c>
      <c r="V52" s="36">
        <f>inp_ma_cost_syn/12*V47</f>
        <v/>
      </c>
      <c r="W52" s="36">
        <f>inp_ma_cost_syn/12*W47</f>
        <v/>
      </c>
      <c r="X52" s="36">
        <f>inp_ma_cost_syn/12*X47</f>
        <v/>
      </c>
      <c r="Y52" s="36">
        <f>inp_ma_cost_syn/12*Y47</f>
        <v/>
      </c>
      <c r="Z52" s="36">
        <f>inp_ma_cost_syn/12*Z47</f>
        <v/>
      </c>
      <c r="AA52" s="36">
        <f>inp_ma_cost_syn/12*AA47</f>
        <v/>
      </c>
      <c r="AB52" s="36">
        <f>inp_ma_cost_syn/12*AB47</f>
        <v/>
      </c>
      <c r="AC52" s="36">
        <f>inp_ma_cost_syn/12*AC47</f>
        <v/>
      </c>
      <c r="AD52" s="36">
        <f>inp_ma_cost_syn/12*AD47</f>
        <v/>
      </c>
      <c r="AE52" s="36">
        <f>inp_ma_cost_syn/12*AE47</f>
        <v/>
      </c>
      <c r="AF52" s="36">
        <f>inp_ma_cost_syn/12*AF47</f>
        <v/>
      </c>
      <c r="AG52" s="36">
        <f>inp_ma_cost_syn/12*AG47</f>
        <v/>
      </c>
      <c r="AH52" s="36">
        <f>inp_ma_cost_syn/12*AH47</f>
        <v/>
      </c>
      <c r="AI52" s="36">
        <f>inp_ma_cost_syn/12*AI47</f>
        <v/>
      </c>
      <c r="AJ52" s="36">
        <f>inp_ma_cost_syn/12*AJ47</f>
        <v/>
      </c>
      <c r="AK52" s="36">
        <f>inp_ma_cost_syn/12*AK47</f>
        <v/>
      </c>
      <c r="AL52" s="36">
        <f>inp_ma_cost_syn/12*AL47</f>
        <v/>
      </c>
      <c r="AN52" s="36">
        <f>SUMIF($O$5:$AL$5,AN$5,$O52:$AL52)</f>
        <v/>
      </c>
      <c r="AO52" s="36">
        <f>SUMIF($O$5:$AL$5,AO$5,$O52:$AL52)</f>
        <v/>
      </c>
    </row>
    <row r="53">
      <c r="A53" s="5" t="inlineStr">
        <is>
          <t>Integration cost</t>
        </is>
      </c>
      <c r="B53" s="2" t="inlineStr">
        <is>
          <t>GBP k</t>
        </is>
      </c>
      <c r="O53" s="36">
        <f>IF(O$3&lt;=inp_ma_integration_months,inp_ma_integration_total/inp_ma_integration_months,0)</f>
        <v/>
      </c>
      <c r="P53" s="36">
        <f>IF(P$3&lt;=inp_ma_integration_months,inp_ma_integration_total/inp_ma_integration_months,0)</f>
        <v/>
      </c>
      <c r="Q53" s="36">
        <f>IF(Q$3&lt;=inp_ma_integration_months,inp_ma_integration_total/inp_ma_integration_months,0)</f>
        <v/>
      </c>
      <c r="R53" s="36">
        <f>IF(R$3&lt;=inp_ma_integration_months,inp_ma_integration_total/inp_ma_integration_months,0)</f>
        <v/>
      </c>
      <c r="S53" s="36">
        <f>IF(S$3&lt;=inp_ma_integration_months,inp_ma_integration_total/inp_ma_integration_months,0)</f>
        <v/>
      </c>
      <c r="T53" s="36">
        <f>IF(T$3&lt;=inp_ma_integration_months,inp_ma_integration_total/inp_ma_integration_months,0)</f>
        <v/>
      </c>
      <c r="U53" s="36">
        <f>IF(U$3&lt;=inp_ma_integration_months,inp_ma_integration_total/inp_ma_integration_months,0)</f>
        <v/>
      </c>
      <c r="V53" s="36">
        <f>IF(V$3&lt;=inp_ma_integration_months,inp_ma_integration_total/inp_ma_integration_months,0)</f>
        <v/>
      </c>
      <c r="W53" s="36">
        <f>IF(W$3&lt;=inp_ma_integration_months,inp_ma_integration_total/inp_ma_integration_months,0)</f>
        <v/>
      </c>
      <c r="X53" s="36">
        <f>IF(X$3&lt;=inp_ma_integration_months,inp_ma_integration_total/inp_ma_integration_months,0)</f>
        <v/>
      </c>
      <c r="Y53" s="36">
        <f>IF(Y$3&lt;=inp_ma_integration_months,inp_ma_integration_total/inp_ma_integration_months,0)</f>
        <v/>
      </c>
      <c r="Z53" s="36">
        <f>IF(Z$3&lt;=inp_ma_integration_months,inp_ma_integration_total/inp_ma_integration_months,0)</f>
        <v/>
      </c>
      <c r="AA53" s="36">
        <f>IF(AA$3&lt;=inp_ma_integration_months,inp_ma_integration_total/inp_ma_integration_months,0)</f>
        <v/>
      </c>
      <c r="AB53" s="36">
        <f>IF(AB$3&lt;=inp_ma_integration_months,inp_ma_integration_total/inp_ma_integration_months,0)</f>
        <v/>
      </c>
      <c r="AC53" s="36">
        <f>IF(AC$3&lt;=inp_ma_integration_months,inp_ma_integration_total/inp_ma_integration_months,0)</f>
        <v/>
      </c>
      <c r="AD53" s="36">
        <f>IF(AD$3&lt;=inp_ma_integration_months,inp_ma_integration_total/inp_ma_integration_months,0)</f>
        <v/>
      </c>
      <c r="AE53" s="36">
        <f>IF(AE$3&lt;=inp_ma_integration_months,inp_ma_integration_total/inp_ma_integration_months,0)</f>
        <v/>
      </c>
      <c r="AF53" s="36">
        <f>IF(AF$3&lt;=inp_ma_integration_months,inp_ma_integration_total/inp_ma_integration_months,0)</f>
        <v/>
      </c>
      <c r="AG53" s="36">
        <f>IF(AG$3&lt;=inp_ma_integration_months,inp_ma_integration_total/inp_ma_integration_months,0)</f>
        <v/>
      </c>
      <c r="AH53" s="36">
        <f>IF(AH$3&lt;=inp_ma_integration_months,inp_ma_integration_total/inp_ma_integration_months,0)</f>
        <v/>
      </c>
      <c r="AI53" s="36">
        <f>IF(AI$3&lt;=inp_ma_integration_months,inp_ma_integration_total/inp_ma_integration_months,0)</f>
        <v/>
      </c>
      <c r="AJ53" s="36">
        <f>IF(AJ$3&lt;=inp_ma_integration_months,inp_ma_integration_total/inp_ma_integration_months,0)</f>
        <v/>
      </c>
      <c r="AK53" s="36">
        <f>IF(AK$3&lt;=inp_ma_integration_months,inp_ma_integration_total/inp_ma_integration_months,0)</f>
        <v/>
      </c>
      <c r="AL53" s="36">
        <f>IF(AL$3&lt;=inp_ma_integration_months,inp_ma_integration_total/inp_ma_integration_months,0)</f>
        <v/>
      </c>
      <c r="AN53" s="36">
        <f>SUMIF($O$5:$AL$5,AN$5,$O53:$AL53)</f>
        <v/>
      </c>
      <c r="AO53" s="36">
        <f>SUMIF($O$5:$AL$5,AO$5,$O53:$AL53)</f>
        <v/>
      </c>
    </row>
    <row r="55">
      <c r="A55" s="13" t="inlineStr">
        <is>
          <t>Adjustments in the pro-forma (include switch and achievement % applied)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</row>
    <row r="56">
      <c r="A56" s="5" t="inlineStr">
        <is>
          <t>Synergy ARR (closing)</t>
        </is>
      </c>
      <c r="B56" s="2" t="inlineStr">
        <is>
          <t>GBP k</t>
        </is>
      </c>
      <c r="N56" s="36">
        <f>0</f>
        <v/>
      </c>
      <c r="O56" s="36">
        <f>inp_ma_include*inp_ma_syn_achieved*O49</f>
        <v/>
      </c>
      <c r="P56" s="36">
        <f>inp_ma_include*inp_ma_syn_achieved*P49</f>
        <v/>
      </c>
      <c r="Q56" s="36">
        <f>inp_ma_include*inp_ma_syn_achieved*Q49</f>
        <v/>
      </c>
      <c r="R56" s="36">
        <f>inp_ma_include*inp_ma_syn_achieved*R49</f>
        <v/>
      </c>
      <c r="S56" s="36">
        <f>inp_ma_include*inp_ma_syn_achieved*S49</f>
        <v/>
      </c>
      <c r="T56" s="36">
        <f>inp_ma_include*inp_ma_syn_achieved*T49</f>
        <v/>
      </c>
      <c r="U56" s="36">
        <f>inp_ma_include*inp_ma_syn_achieved*U49</f>
        <v/>
      </c>
      <c r="V56" s="36">
        <f>inp_ma_include*inp_ma_syn_achieved*V49</f>
        <v/>
      </c>
      <c r="W56" s="36">
        <f>inp_ma_include*inp_ma_syn_achieved*W49</f>
        <v/>
      </c>
      <c r="X56" s="36">
        <f>inp_ma_include*inp_ma_syn_achieved*X49</f>
        <v/>
      </c>
      <c r="Y56" s="36">
        <f>inp_ma_include*inp_ma_syn_achieved*Y49</f>
        <v/>
      </c>
      <c r="Z56" s="36">
        <f>inp_ma_include*inp_ma_syn_achieved*Z49</f>
        <v/>
      </c>
      <c r="AA56" s="36">
        <f>inp_ma_include*inp_ma_syn_achieved*AA49</f>
        <v/>
      </c>
      <c r="AB56" s="36">
        <f>inp_ma_include*inp_ma_syn_achieved*AB49</f>
        <v/>
      </c>
      <c r="AC56" s="36">
        <f>inp_ma_include*inp_ma_syn_achieved*AC49</f>
        <v/>
      </c>
      <c r="AD56" s="36">
        <f>inp_ma_include*inp_ma_syn_achieved*AD49</f>
        <v/>
      </c>
      <c r="AE56" s="36">
        <f>inp_ma_include*inp_ma_syn_achieved*AE49</f>
        <v/>
      </c>
      <c r="AF56" s="36">
        <f>inp_ma_include*inp_ma_syn_achieved*AF49</f>
        <v/>
      </c>
      <c r="AG56" s="36">
        <f>inp_ma_include*inp_ma_syn_achieved*AG49</f>
        <v/>
      </c>
      <c r="AH56" s="36">
        <f>inp_ma_include*inp_ma_syn_achieved*AH49</f>
        <v/>
      </c>
      <c r="AI56" s="36">
        <f>inp_ma_include*inp_ma_syn_achieved*AI49</f>
        <v/>
      </c>
      <c r="AJ56" s="36">
        <f>inp_ma_include*inp_ma_syn_achieved*AJ49</f>
        <v/>
      </c>
      <c r="AK56" s="36">
        <f>inp_ma_include*inp_ma_syn_achieved*AK49</f>
        <v/>
      </c>
      <c r="AL56" s="36">
        <f>inp_ma_include*inp_ma_syn_achieved*AL49</f>
        <v/>
      </c>
      <c r="AN56" s="36">
        <f>INDEX($O56:$AL56,1,AN$5*12)</f>
        <v/>
      </c>
      <c r="AO56" s="36">
        <f>INDEX($O56:$AL56,1,AO$5*12)</f>
        <v/>
      </c>
    </row>
    <row r="57">
      <c r="A57" s="5" t="inlineStr">
        <is>
          <t>Revenue synergies</t>
        </is>
      </c>
      <c r="B57" s="2" t="inlineStr">
        <is>
          <t>GBP k</t>
        </is>
      </c>
      <c r="O57" s="36">
        <f>inp_ma_include*inp_ma_syn_achieved*O50</f>
        <v/>
      </c>
      <c r="P57" s="36">
        <f>inp_ma_include*inp_ma_syn_achieved*P50</f>
        <v/>
      </c>
      <c r="Q57" s="36">
        <f>inp_ma_include*inp_ma_syn_achieved*Q50</f>
        <v/>
      </c>
      <c r="R57" s="36">
        <f>inp_ma_include*inp_ma_syn_achieved*R50</f>
        <v/>
      </c>
      <c r="S57" s="36">
        <f>inp_ma_include*inp_ma_syn_achieved*S50</f>
        <v/>
      </c>
      <c r="T57" s="36">
        <f>inp_ma_include*inp_ma_syn_achieved*T50</f>
        <v/>
      </c>
      <c r="U57" s="36">
        <f>inp_ma_include*inp_ma_syn_achieved*U50</f>
        <v/>
      </c>
      <c r="V57" s="36">
        <f>inp_ma_include*inp_ma_syn_achieved*V50</f>
        <v/>
      </c>
      <c r="W57" s="36">
        <f>inp_ma_include*inp_ma_syn_achieved*W50</f>
        <v/>
      </c>
      <c r="X57" s="36">
        <f>inp_ma_include*inp_ma_syn_achieved*X50</f>
        <v/>
      </c>
      <c r="Y57" s="36">
        <f>inp_ma_include*inp_ma_syn_achieved*Y50</f>
        <v/>
      </c>
      <c r="Z57" s="36">
        <f>inp_ma_include*inp_ma_syn_achieved*Z50</f>
        <v/>
      </c>
      <c r="AA57" s="36">
        <f>inp_ma_include*inp_ma_syn_achieved*AA50</f>
        <v/>
      </c>
      <c r="AB57" s="36">
        <f>inp_ma_include*inp_ma_syn_achieved*AB50</f>
        <v/>
      </c>
      <c r="AC57" s="36">
        <f>inp_ma_include*inp_ma_syn_achieved*AC50</f>
        <v/>
      </c>
      <c r="AD57" s="36">
        <f>inp_ma_include*inp_ma_syn_achieved*AD50</f>
        <v/>
      </c>
      <c r="AE57" s="36">
        <f>inp_ma_include*inp_ma_syn_achieved*AE50</f>
        <v/>
      </c>
      <c r="AF57" s="36">
        <f>inp_ma_include*inp_ma_syn_achieved*AF50</f>
        <v/>
      </c>
      <c r="AG57" s="36">
        <f>inp_ma_include*inp_ma_syn_achieved*AG50</f>
        <v/>
      </c>
      <c r="AH57" s="36">
        <f>inp_ma_include*inp_ma_syn_achieved*AH50</f>
        <v/>
      </c>
      <c r="AI57" s="36">
        <f>inp_ma_include*inp_ma_syn_achieved*AI50</f>
        <v/>
      </c>
      <c r="AJ57" s="36">
        <f>inp_ma_include*inp_ma_syn_achieved*AJ50</f>
        <v/>
      </c>
      <c r="AK57" s="36">
        <f>inp_ma_include*inp_ma_syn_achieved*AK50</f>
        <v/>
      </c>
      <c r="AL57" s="36">
        <f>inp_ma_include*inp_ma_syn_achieved*AL50</f>
        <v/>
      </c>
      <c r="AN57" s="36">
        <f>SUMIF($O$5:$AL$5,AN$5,$O57:$AL57)</f>
        <v/>
      </c>
      <c r="AO57" s="36">
        <f>SUMIF($O$5:$AL$5,AO$5,$O57:$AL57)</f>
        <v/>
      </c>
    </row>
    <row r="58">
      <c r="A58" s="5" t="inlineStr">
        <is>
          <t>EBITDA from synergies (cross-sell contribution + cost savings)</t>
        </is>
      </c>
      <c r="B58" s="2" t="inlineStr">
        <is>
          <t>GBP k</t>
        </is>
      </c>
      <c r="O58" s="36">
        <f>inp_ma_include*inp_ma_syn_achieved*(O51+O52)</f>
        <v/>
      </c>
      <c r="P58" s="36">
        <f>inp_ma_include*inp_ma_syn_achieved*(P51+P52)</f>
        <v/>
      </c>
      <c r="Q58" s="36">
        <f>inp_ma_include*inp_ma_syn_achieved*(Q51+Q52)</f>
        <v/>
      </c>
      <c r="R58" s="36">
        <f>inp_ma_include*inp_ma_syn_achieved*(R51+R52)</f>
        <v/>
      </c>
      <c r="S58" s="36">
        <f>inp_ma_include*inp_ma_syn_achieved*(S51+S52)</f>
        <v/>
      </c>
      <c r="T58" s="36">
        <f>inp_ma_include*inp_ma_syn_achieved*(T51+T52)</f>
        <v/>
      </c>
      <c r="U58" s="36">
        <f>inp_ma_include*inp_ma_syn_achieved*(U51+U52)</f>
        <v/>
      </c>
      <c r="V58" s="36">
        <f>inp_ma_include*inp_ma_syn_achieved*(V51+V52)</f>
        <v/>
      </c>
      <c r="W58" s="36">
        <f>inp_ma_include*inp_ma_syn_achieved*(W51+W52)</f>
        <v/>
      </c>
      <c r="X58" s="36">
        <f>inp_ma_include*inp_ma_syn_achieved*(X51+X52)</f>
        <v/>
      </c>
      <c r="Y58" s="36">
        <f>inp_ma_include*inp_ma_syn_achieved*(Y51+Y52)</f>
        <v/>
      </c>
      <c r="Z58" s="36">
        <f>inp_ma_include*inp_ma_syn_achieved*(Z51+Z52)</f>
        <v/>
      </c>
      <c r="AA58" s="36">
        <f>inp_ma_include*inp_ma_syn_achieved*(AA51+AA52)</f>
        <v/>
      </c>
      <c r="AB58" s="36">
        <f>inp_ma_include*inp_ma_syn_achieved*(AB51+AB52)</f>
        <v/>
      </c>
      <c r="AC58" s="36">
        <f>inp_ma_include*inp_ma_syn_achieved*(AC51+AC52)</f>
        <v/>
      </c>
      <c r="AD58" s="36">
        <f>inp_ma_include*inp_ma_syn_achieved*(AD51+AD52)</f>
        <v/>
      </c>
      <c r="AE58" s="36">
        <f>inp_ma_include*inp_ma_syn_achieved*(AE51+AE52)</f>
        <v/>
      </c>
      <c r="AF58" s="36">
        <f>inp_ma_include*inp_ma_syn_achieved*(AF51+AF52)</f>
        <v/>
      </c>
      <c r="AG58" s="36">
        <f>inp_ma_include*inp_ma_syn_achieved*(AG51+AG52)</f>
        <v/>
      </c>
      <c r="AH58" s="36">
        <f>inp_ma_include*inp_ma_syn_achieved*(AH51+AH52)</f>
        <v/>
      </c>
      <c r="AI58" s="36">
        <f>inp_ma_include*inp_ma_syn_achieved*(AI51+AI52)</f>
        <v/>
      </c>
      <c r="AJ58" s="36">
        <f>inp_ma_include*inp_ma_syn_achieved*(AJ51+AJ52)</f>
        <v/>
      </c>
      <c r="AK58" s="36">
        <f>inp_ma_include*inp_ma_syn_achieved*(AK51+AK52)</f>
        <v/>
      </c>
      <c r="AL58" s="36">
        <f>inp_ma_include*inp_ma_syn_achieved*(AL51+AL52)</f>
        <v/>
      </c>
      <c r="AN58" s="36">
        <f>SUMIF($O$5:$AL$5,AN$5,$O58:$AL58)</f>
        <v/>
      </c>
      <c r="AO58" s="36">
        <f>SUMIF($O$5:$AL$5,AO$5,$O58:$AL58)</f>
        <v/>
      </c>
    </row>
    <row r="59">
      <c r="A59" s="5" t="inlineStr">
        <is>
          <t>Integration costs</t>
        </is>
      </c>
      <c r="B59" s="2" t="inlineStr">
        <is>
          <t>GBP k</t>
        </is>
      </c>
      <c r="O59" s="36">
        <f>-inp_ma_include*O53</f>
        <v/>
      </c>
      <c r="P59" s="36">
        <f>-inp_ma_include*P53</f>
        <v/>
      </c>
      <c r="Q59" s="36">
        <f>-inp_ma_include*Q53</f>
        <v/>
      </c>
      <c r="R59" s="36">
        <f>-inp_ma_include*R53</f>
        <v/>
      </c>
      <c r="S59" s="36">
        <f>-inp_ma_include*S53</f>
        <v/>
      </c>
      <c r="T59" s="36">
        <f>-inp_ma_include*T53</f>
        <v/>
      </c>
      <c r="U59" s="36">
        <f>-inp_ma_include*U53</f>
        <v/>
      </c>
      <c r="V59" s="36">
        <f>-inp_ma_include*V53</f>
        <v/>
      </c>
      <c r="W59" s="36">
        <f>-inp_ma_include*W53</f>
        <v/>
      </c>
      <c r="X59" s="36">
        <f>-inp_ma_include*X53</f>
        <v/>
      </c>
      <c r="Y59" s="36">
        <f>-inp_ma_include*Y53</f>
        <v/>
      </c>
      <c r="Z59" s="36">
        <f>-inp_ma_include*Z53</f>
        <v/>
      </c>
      <c r="AA59" s="36">
        <f>-inp_ma_include*AA53</f>
        <v/>
      </c>
      <c r="AB59" s="36">
        <f>-inp_ma_include*AB53</f>
        <v/>
      </c>
      <c r="AC59" s="36">
        <f>-inp_ma_include*AC53</f>
        <v/>
      </c>
      <c r="AD59" s="36">
        <f>-inp_ma_include*AD53</f>
        <v/>
      </c>
      <c r="AE59" s="36">
        <f>-inp_ma_include*AE53</f>
        <v/>
      </c>
      <c r="AF59" s="36">
        <f>-inp_ma_include*AF53</f>
        <v/>
      </c>
      <c r="AG59" s="36">
        <f>-inp_ma_include*AG53</f>
        <v/>
      </c>
      <c r="AH59" s="36">
        <f>-inp_ma_include*AH53</f>
        <v/>
      </c>
      <c r="AI59" s="36">
        <f>-inp_ma_include*AI53</f>
        <v/>
      </c>
      <c r="AJ59" s="36">
        <f>-inp_ma_include*AJ53</f>
        <v/>
      </c>
      <c r="AK59" s="36">
        <f>-inp_ma_include*AK53</f>
        <v/>
      </c>
      <c r="AL59" s="36">
        <f>-inp_ma_include*AL53</f>
        <v/>
      </c>
      <c r="AN59" s="36">
        <f>SUMIF($O$5:$AL$5,AN$5,$O59:$AL59)</f>
        <v/>
      </c>
      <c r="AO59" s="36">
        <f>SUMIF($O$5:$AL$5,AO$5,$O59:$AL59)</f>
        <v/>
      </c>
    </row>
    <row r="60">
      <c r="A60" s="5" t="inlineStr">
        <is>
          <t>Transaction costs</t>
        </is>
      </c>
      <c r="B60" s="2" t="inlineStr">
        <is>
          <t>GBP k</t>
        </is>
      </c>
      <c r="O60" s="36">
        <f>-inp_ma_include*IF(O$3=1,MA_PPA!$C$13,0)</f>
        <v/>
      </c>
      <c r="P60" s="36">
        <f>-inp_ma_include*IF(P$3=1,MA_PPA!$C$13,0)</f>
        <v/>
      </c>
      <c r="Q60" s="36">
        <f>-inp_ma_include*IF(Q$3=1,MA_PPA!$C$13,0)</f>
        <v/>
      </c>
      <c r="R60" s="36">
        <f>-inp_ma_include*IF(R$3=1,MA_PPA!$C$13,0)</f>
        <v/>
      </c>
      <c r="S60" s="36">
        <f>-inp_ma_include*IF(S$3=1,MA_PPA!$C$13,0)</f>
        <v/>
      </c>
      <c r="T60" s="36">
        <f>-inp_ma_include*IF(T$3=1,MA_PPA!$C$13,0)</f>
        <v/>
      </c>
      <c r="U60" s="36">
        <f>-inp_ma_include*IF(U$3=1,MA_PPA!$C$13,0)</f>
        <v/>
      </c>
      <c r="V60" s="36">
        <f>-inp_ma_include*IF(V$3=1,MA_PPA!$C$13,0)</f>
        <v/>
      </c>
      <c r="W60" s="36">
        <f>-inp_ma_include*IF(W$3=1,MA_PPA!$C$13,0)</f>
        <v/>
      </c>
      <c r="X60" s="36">
        <f>-inp_ma_include*IF(X$3=1,MA_PPA!$C$13,0)</f>
        <v/>
      </c>
      <c r="Y60" s="36">
        <f>-inp_ma_include*IF(Y$3=1,MA_PPA!$C$13,0)</f>
        <v/>
      </c>
      <c r="Z60" s="36">
        <f>-inp_ma_include*IF(Z$3=1,MA_PPA!$C$13,0)</f>
        <v/>
      </c>
      <c r="AA60" s="36">
        <f>-inp_ma_include*IF(AA$3=1,MA_PPA!$C$13,0)</f>
        <v/>
      </c>
      <c r="AB60" s="36">
        <f>-inp_ma_include*IF(AB$3=1,MA_PPA!$C$13,0)</f>
        <v/>
      </c>
      <c r="AC60" s="36">
        <f>-inp_ma_include*IF(AC$3=1,MA_PPA!$C$13,0)</f>
        <v/>
      </c>
      <c r="AD60" s="36">
        <f>-inp_ma_include*IF(AD$3=1,MA_PPA!$C$13,0)</f>
        <v/>
      </c>
      <c r="AE60" s="36">
        <f>-inp_ma_include*IF(AE$3=1,MA_PPA!$C$13,0)</f>
        <v/>
      </c>
      <c r="AF60" s="36">
        <f>-inp_ma_include*IF(AF$3=1,MA_PPA!$C$13,0)</f>
        <v/>
      </c>
      <c r="AG60" s="36">
        <f>-inp_ma_include*IF(AG$3=1,MA_PPA!$C$13,0)</f>
        <v/>
      </c>
      <c r="AH60" s="36">
        <f>-inp_ma_include*IF(AH$3=1,MA_PPA!$C$13,0)</f>
        <v/>
      </c>
      <c r="AI60" s="36">
        <f>-inp_ma_include*IF(AI$3=1,MA_PPA!$C$13,0)</f>
        <v/>
      </c>
      <c r="AJ60" s="36">
        <f>-inp_ma_include*IF(AJ$3=1,MA_PPA!$C$13,0)</f>
        <v/>
      </c>
      <c r="AK60" s="36">
        <f>-inp_ma_include*IF(AK$3=1,MA_PPA!$C$13,0)</f>
        <v/>
      </c>
      <c r="AL60" s="36">
        <f>-inp_ma_include*IF(AL$3=1,MA_PPA!$C$13,0)</f>
        <v/>
      </c>
      <c r="AN60" s="36">
        <f>SUMIF($O$5:$AL$5,AN$5,$O60:$AL60)</f>
        <v/>
      </c>
      <c r="AO60" s="36">
        <f>SUMIF($O$5:$AL$5,AO$5,$O60:$AL60)</f>
        <v/>
      </c>
    </row>
    <row r="61">
      <c r="A61" s="5" t="inlineStr">
        <is>
          <t>Revenue lost: acquired deferred revenue at fair value (IFRS 3)</t>
        </is>
      </c>
      <c r="B61" s="2" t="inlineStr">
        <is>
          <t>GBP k</t>
        </is>
      </c>
      <c r="O61" s="36">
        <f>-inp_ma_include*IF(O$3&lt;=12,MA_PPA!$C$24/12,0)</f>
        <v/>
      </c>
      <c r="P61" s="36">
        <f>-inp_ma_include*IF(P$3&lt;=12,MA_PPA!$C$24/12,0)</f>
        <v/>
      </c>
      <c r="Q61" s="36">
        <f>-inp_ma_include*IF(Q$3&lt;=12,MA_PPA!$C$24/12,0)</f>
        <v/>
      </c>
      <c r="R61" s="36">
        <f>-inp_ma_include*IF(R$3&lt;=12,MA_PPA!$C$24/12,0)</f>
        <v/>
      </c>
      <c r="S61" s="36">
        <f>-inp_ma_include*IF(S$3&lt;=12,MA_PPA!$C$24/12,0)</f>
        <v/>
      </c>
      <c r="T61" s="36">
        <f>-inp_ma_include*IF(T$3&lt;=12,MA_PPA!$C$24/12,0)</f>
        <v/>
      </c>
      <c r="U61" s="36">
        <f>-inp_ma_include*IF(U$3&lt;=12,MA_PPA!$C$24/12,0)</f>
        <v/>
      </c>
      <c r="V61" s="36">
        <f>-inp_ma_include*IF(V$3&lt;=12,MA_PPA!$C$24/12,0)</f>
        <v/>
      </c>
      <c r="W61" s="36">
        <f>-inp_ma_include*IF(W$3&lt;=12,MA_PPA!$C$24/12,0)</f>
        <v/>
      </c>
      <c r="X61" s="36">
        <f>-inp_ma_include*IF(X$3&lt;=12,MA_PPA!$C$24/12,0)</f>
        <v/>
      </c>
      <c r="Y61" s="36">
        <f>-inp_ma_include*IF(Y$3&lt;=12,MA_PPA!$C$24/12,0)</f>
        <v/>
      </c>
      <c r="Z61" s="36">
        <f>-inp_ma_include*IF(Z$3&lt;=12,MA_PPA!$C$24/12,0)</f>
        <v/>
      </c>
      <c r="AA61" s="36">
        <f>-inp_ma_include*IF(AA$3&lt;=12,MA_PPA!$C$24/12,0)</f>
        <v/>
      </c>
      <c r="AB61" s="36">
        <f>-inp_ma_include*IF(AB$3&lt;=12,MA_PPA!$C$24/12,0)</f>
        <v/>
      </c>
      <c r="AC61" s="36">
        <f>-inp_ma_include*IF(AC$3&lt;=12,MA_PPA!$C$24/12,0)</f>
        <v/>
      </c>
      <c r="AD61" s="36">
        <f>-inp_ma_include*IF(AD$3&lt;=12,MA_PPA!$C$24/12,0)</f>
        <v/>
      </c>
      <c r="AE61" s="36">
        <f>-inp_ma_include*IF(AE$3&lt;=12,MA_PPA!$C$24/12,0)</f>
        <v/>
      </c>
      <c r="AF61" s="36">
        <f>-inp_ma_include*IF(AF$3&lt;=12,MA_PPA!$C$24/12,0)</f>
        <v/>
      </c>
      <c r="AG61" s="36">
        <f>-inp_ma_include*IF(AG$3&lt;=12,MA_PPA!$C$24/12,0)</f>
        <v/>
      </c>
      <c r="AH61" s="36">
        <f>-inp_ma_include*IF(AH$3&lt;=12,MA_PPA!$C$24/12,0)</f>
        <v/>
      </c>
      <c r="AI61" s="36">
        <f>-inp_ma_include*IF(AI$3&lt;=12,MA_PPA!$C$24/12,0)</f>
        <v/>
      </c>
      <c r="AJ61" s="36">
        <f>-inp_ma_include*IF(AJ$3&lt;=12,MA_PPA!$C$24/12,0)</f>
        <v/>
      </c>
      <c r="AK61" s="36">
        <f>-inp_ma_include*IF(AK$3&lt;=12,MA_PPA!$C$24/12,0)</f>
        <v/>
      </c>
      <c r="AL61" s="36">
        <f>-inp_ma_include*IF(AL$3&lt;=12,MA_PPA!$C$24/12,0)</f>
        <v/>
      </c>
      <c r="AN61" s="36">
        <f>SUMIF($O$5:$AL$5,AN$5,$O61:$AL61)</f>
        <v/>
      </c>
      <c r="AO61" s="36">
        <f>SUMIF($O$5:$AL$5,AO$5,$O61:$AL61)</f>
        <v/>
      </c>
    </row>
    <row r="62">
      <c r="A62" s="5" t="inlineStr">
        <is>
          <t>Amortisation of acquired intangibles</t>
        </is>
      </c>
      <c r="B62" s="2" t="inlineStr">
        <is>
          <t>GBP k</t>
        </is>
      </c>
      <c r="O62" s="36">
        <f>-inp_ma_include*(MA_PPA!$C$25/inp_ma_cr_life*IF(O$3&lt;=inp_ma_cr_life,1,0)+MA_PPA!$C$26/inp_ma_tech_life*IF(O$3&lt;=inp_ma_tech_life,1,0))</f>
        <v/>
      </c>
      <c r="P62" s="36">
        <f>-inp_ma_include*(MA_PPA!$C$25/inp_ma_cr_life*IF(P$3&lt;=inp_ma_cr_life,1,0)+MA_PPA!$C$26/inp_ma_tech_life*IF(P$3&lt;=inp_ma_tech_life,1,0))</f>
        <v/>
      </c>
      <c r="Q62" s="36">
        <f>-inp_ma_include*(MA_PPA!$C$25/inp_ma_cr_life*IF(Q$3&lt;=inp_ma_cr_life,1,0)+MA_PPA!$C$26/inp_ma_tech_life*IF(Q$3&lt;=inp_ma_tech_life,1,0))</f>
        <v/>
      </c>
      <c r="R62" s="36">
        <f>-inp_ma_include*(MA_PPA!$C$25/inp_ma_cr_life*IF(R$3&lt;=inp_ma_cr_life,1,0)+MA_PPA!$C$26/inp_ma_tech_life*IF(R$3&lt;=inp_ma_tech_life,1,0))</f>
        <v/>
      </c>
      <c r="S62" s="36">
        <f>-inp_ma_include*(MA_PPA!$C$25/inp_ma_cr_life*IF(S$3&lt;=inp_ma_cr_life,1,0)+MA_PPA!$C$26/inp_ma_tech_life*IF(S$3&lt;=inp_ma_tech_life,1,0))</f>
        <v/>
      </c>
      <c r="T62" s="36">
        <f>-inp_ma_include*(MA_PPA!$C$25/inp_ma_cr_life*IF(T$3&lt;=inp_ma_cr_life,1,0)+MA_PPA!$C$26/inp_ma_tech_life*IF(T$3&lt;=inp_ma_tech_life,1,0))</f>
        <v/>
      </c>
      <c r="U62" s="36">
        <f>-inp_ma_include*(MA_PPA!$C$25/inp_ma_cr_life*IF(U$3&lt;=inp_ma_cr_life,1,0)+MA_PPA!$C$26/inp_ma_tech_life*IF(U$3&lt;=inp_ma_tech_life,1,0))</f>
        <v/>
      </c>
      <c r="V62" s="36">
        <f>-inp_ma_include*(MA_PPA!$C$25/inp_ma_cr_life*IF(V$3&lt;=inp_ma_cr_life,1,0)+MA_PPA!$C$26/inp_ma_tech_life*IF(V$3&lt;=inp_ma_tech_life,1,0))</f>
        <v/>
      </c>
      <c r="W62" s="36">
        <f>-inp_ma_include*(MA_PPA!$C$25/inp_ma_cr_life*IF(W$3&lt;=inp_ma_cr_life,1,0)+MA_PPA!$C$26/inp_ma_tech_life*IF(W$3&lt;=inp_ma_tech_life,1,0))</f>
        <v/>
      </c>
      <c r="X62" s="36">
        <f>-inp_ma_include*(MA_PPA!$C$25/inp_ma_cr_life*IF(X$3&lt;=inp_ma_cr_life,1,0)+MA_PPA!$C$26/inp_ma_tech_life*IF(X$3&lt;=inp_ma_tech_life,1,0))</f>
        <v/>
      </c>
      <c r="Y62" s="36">
        <f>-inp_ma_include*(MA_PPA!$C$25/inp_ma_cr_life*IF(Y$3&lt;=inp_ma_cr_life,1,0)+MA_PPA!$C$26/inp_ma_tech_life*IF(Y$3&lt;=inp_ma_tech_life,1,0))</f>
        <v/>
      </c>
      <c r="Z62" s="36">
        <f>-inp_ma_include*(MA_PPA!$C$25/inp_ma_cr_life*IF(Z$3&lt;=inp_ma_cr_life,1,0)+MA_PPA!$C$26/inp_ma_tech_life*IF(Z$3&lt;=inp_ma_tech_life,1,0))</f>
        <v/>
      </c>
      <c r="AA62" s="36">
        <f>-inp_ma_include*(MA_PPA!$C$25/inp_ma_cr_life*IF(AA$3&lt;=inp_ma_cr_life,1,0)+MA_PPA!$C$26/inp_ma_tech_life*IF(AA$3&lt;=inp_ma_tech_life,1,0))</f>
        <v/>
      </c>
      <c r="AB62" s="36">
        <f>-inp_ma_include*(MA_PPA!$C$25/inp_ma_cr_life*IF(AB$3&lt;=inp_ma_cr_life,1,0)+MA_PPA!$C$26/inp_ma_tech_life*IF(AB$3&lt;=inp_ma_tech_life,1,0))</f>
        <v/>
      </c>
      <c r="AC62" s="36">
        <f>-inp_ma_include*(MA_PPA!$C$25/inp_ma_cr_life*IF(AC$3&lt;=inp_ma_cr_life,1,0)+MA_PPA!$C$26/inp_ma_tech_life*IF(AC$3&lt;=inp_ma_tech_life,1,0))</f>
        <v/>
      </c>
      <c r="AD62" s="36">
        <f>-inp_ma_include*(MA_PPA!$C$25/inp_ma_cr_life*IF(AD$3&lt;=inp_ma_cr_life,1,0)+MA_PPA!$C$26/inp_ma_tech_life*IF(AD$3&lt;=inp_ma_tech_life,1,0))</f>
        <v/>
      </c>
      <c r="AE62" s="36">
        <f>-inp_ma_include*(MA_PPA!$C$25/inp_ma_cr_life*IF(AE$3&lt;=inp_ma_cr_life,1,0)+MA_PPA!$C$26/inp_ma_tech_life*IF(AE$3&lt;=inp_ma_tech_life,1,0))</f>
        <v/>
      </c>
      <c r="AF62" s="36">
        <f>-inp_ma_include*(MA_PPA!$C$25/inp_ma_cr_life*IF(AF$3&lt;=inp_ma_cr_life,1,0)+MA_PPA!$C$26/inp_ma_tech_life*IF(AF$3&lt;=inp_ma_tech_life,1,0))</f>
        <v/>
      </c>
      <c r="AG62" s="36">
        <f>-inp_ma_include*(MA_PPA!$C$25/inp_ma_cr_life*IF(AG$3&lt;=inp_ma_cr_life,1,0)+MA_PPA!$C$26/inp_ma_tech_life*IF(AG$3&lt;=inp_ma_tech_life,1,0))</f>
        <v/>
      </c>
      <c r="AH62" s="36">
        <f>-inp_ma_include*(MA_PPA!$C$25/inp_ma_cr_life*IF(AH$3&lt;=inp_ma_cr_life,1,0)+MA_PPA!$C$26/inp_ma_tech_life*IF(AH$3&lt;=inp_ma_tech_life,1,0))</f>
        <v/>
      </c>
      <c r="AI62" s="36">
        <f>-inp_ma_include*(MA_PPA!$C$25/inp_ma_cr_life*IF(AI$3&lt;=inp_ma_cr_life,1,0)+MA_PPA!$C$26/inp_ma_tech_life*IF(AI$3&lt;=inp_ma_tech_life,1,0))</f>
        <v/>
      </c>
      <c r="AJ62" s="36">
        <f>-inp_ma_include*(MA_PPA!$C$25/inp_ma_cr_life*IF(AJ$3&lt;=inp_ma_cr_life,1,0)+MA_PPA!$C$26/inp_ma_tech_life*IF(AJ$3&lt;=inp_ma_tech_life,1,0))</f>
        <v/>
      </c>
      <c r="AK62" s="36">
        <f>-inp_ma_include*(MA_PPA!$C$25/inp_ma_cr_life*IF(AK$3&lt;=inp_ma_cr_life,1,0)+MA_PPA!$C$26/inp_ma_tech_life*IF(AK$3&lt;=inp_ma_tech_life,1,0))</f>
        <v/>
      </c>
      <c r="AL62" s="36">
        <f>-inp_ma_include*(MA_PPA!$C$25/inp_ma_cr_life*IF(AL$3&lt;=inp_ma_cr_life,1,0)+MA_PPA!$C$26/inp_ma_tech_life*IF(AL$3&lt;=inp_ma_tech_life,1,0))</f>
        <v/>
      </c>
      <c r="AN62" s="36">
        <f>SUMIF($O$5:$AL$5,AN$5,$O62:$AL62)</f>
        <v/>
      </c>
      <c r="AO62" s="36">
        <f>SUMIF($O$5:$AL$5,AO$5,$O62:$AL62)</f>
        <v/>
      </c>
    </row>
    <row r="63">
      <c r="A63" s="5" t="inlineStr">
        <is>
          <t>Deferred tax credit on amortisation (non-cash)</t>
        </is>
      </c>
      <c r="B63" s="2" t="inlineStr">
        <is>
          <t>GBP k</t>
        </is>
      </c>
      <c r="O63" s="36">
        <f>-O62*inp_tax</f>
        <v/>
      </c>
      <c r="P63" s="36">
        <f>-P62*inp_tax</f>
        <v/>
      </c>
      <c r="Q63" s="36">
        <f>-Q62*inp_tax</f>
        <v/>
      </c>
      <c r="R63" s="36">
        <f>-R62*inp_tax</f>
        <v/>
      </c>
      <c r="S63" s="36">
        <f>-S62*inp_tax</f>
        <v/>
      </c>
      <c r="T63" s="36">
        <f>-T62*inp_tax</f>
        <v/>
      </c>
      <c r="U63" s="36">
        <f>-U62*inp_tax</f>
        <v/>
      </c>
      <c r="V63" s="36">
        <f>-V62*inp_tax</f>
        <v/>
      </c>
      <c r="W63" s="36">
        <f>-W62*inp_tax</f>
        <v/>
      </c>
      <c r="X63" s="36">
        <f>-X62*inp_tax</f>
        <v/>
      </c>
      <c r="Y63" s="36">
        <f>-Y62*inp_tax</f>
        <v/>
      </c>
      <c r="Z63" s="36">
        <f>-Z62*inp_tax</f>
        <v/>
      </c>
      <c r="AA63" s="36">
        <f>-AA62*inp_tax</f>
        <v/>
      </c>
      <c r="AB63" s="36">
        <f>-AB62*inp_tax</f>
        <v/>
      </c>
      <c r="AC63" s="36">
        <f>-AC62*inp_tax</f>
        <v/>
      </c>
      <c r="AD63" s="36">
        <f>-AD62*inp_tax</f>
        <v/>
      </c>
      <c r="AE63" s="36">
        <f>-AE62*inp_tax</f>
        <v/>
      </c>
      <c r="AF63" s="36">
        <f>-AF62*inp_tax</f>
        <v/>
      </c>
      <c r="AG63" s="36">
        <f>-AG62*inp_tax</f>
        <v/>
      </c>
      <c r="AH63" s="36">
        <f>-AH62*inp_tax</f>
        <v/>
      </c>
      <c r="AI63" s="36">
        <f>-AI62*inp_tax</f>
        <v/>
      </c>
      <c r="AJ63" s="36">
        <f>-AJ62*inp_tax</f>
        <v/>
      </c>
      <c r="AK63" s="36">
        <f>-AK62*inp_tax</f>
        <v/>
      </c>
      <c r="AL63" s="36">
        <f>-AL62*inp_tax</f>
        <v/>
      </c>
      <c r="AN63" s="36">
        <f>SUMIF($O$5:$AL$5,AN$5,$O63:$AL63)</f>
        <v/>
      </c>
      <c r="AO63" s="36">
        <f>SUMIF($O$5:$AL$5,AO$5,$O63:$AL63)</f>
        <v/>
      </c>
    </row>
    <row r="64">
      <c r="A64" s="5" t="inlineStr">
        <is>
          <t>Acquisition loan balance (bullet)</t>
        </is>
      </c>
      <c r="B64" s="2" t="inlineStr">
        <is>
          <t>GBP k</t>
        </is>
      </c>
      <c r="N64" s="36">
        <f>inp_ma_include*MA_PPA!$C$11</f>
        <v/>
      </c>
      <c r="O64" s="36">
        <f>N64</f>
        <v/>
      </c>
      <c r="P64" s="36">
        <f>O64</f>
        <v/>
      </c>
      <c r="Q64" s="36">
        <f>P64</f>
        <v/>
      </c>
      <c r="R64" s="36">
        <f>Q64</f>
        <v/>
      </c>
      <c r="S64" s="36">
        <f>R64</f>
        <v/>
      </c>
      <c r="T64" s="36">
        <f>S64</f>
        <v/>
      </c>
      <c r="U64" s="36">
        <f>T64</f>
        <v/>
      </c>
      <c r="V64" s="36">
        <f>U64</f>
        <v/>
      </c>
      <c r="W64" s="36">
        <f>V64</f>
        <v/>
      </c>
      <c r="X64" s="36">
        <f>W64</f>
        <v/>
      </c>
      <c r="Y64" s="36">
        <f>X64</f>
        <v/>
      </c>
      <c r="Z64" s="36">
        <f>Y64</f>
        <v/>
      </c>
      <c r="AA64" s="36">
        <f>Z64</f>
        <v/>
      </c>
      <c r="AB64" s="36">
        <f>AA64</f>
        <v/>
      </c>
      <c r="AC64" s="36">
        <f>AB64</f>
        <v/>
      </c>
      <c r="AD64" s="36">
        <f>AC64</f>
        <v/>
      </c>
      <c r="AE64" s="36">
        <f>AD64</f>
        <v/>
      </c>
      <c r="AF64" s="36">
        <f>AE64</f>
        <v/>
      </c>
      <c r="AG64" s="36">
        <f>AF64</f>
        <v/>
      </c>
      <c r="AH64" s="36">
        <f>AG64</f>
        <v/>
      </c>
      <c r="AI64" s="36">
        <f>AH64</f>
        <v/>
      </c>
      <c r="AJ64" s="36">
        <f>AI64</f>
        <v/>
      </c>
      <c r="AK64" s="36">
        <f>AJ64</f>
        <v/>
      </c>
      <c r="AL64" s="36">
        <f>AK64</f>
        <v/>
      </c>
      <c r="AN64" s="36">
        <f>INDEX($O64:$AL64,1,AN$5*12)</f>
        <v/>
      </c>
      <c r="AO64" s="36">
        <f>INDEX($O64:$AL64,1,AO$5*12)</f>
        <v/>
      </c>
    </row>
    <row r="65">
      <c r="A65" s="5" t="inlineStr">
        <is>
          <t>Interest on acquisition loan (prior-period balance)</t>
        </is>
      </c>
      <c r="B65" s="2" t="inlineStr">
        <is>
          <t>GBP k</t>
        </is>
      </c>
      <c r="O65" s="36">
        <f>-N64*inp_ma_loan_rate/12</f>
        <v/>
      </c>
      <c r="P65" s="36">
        <f>-O64*inp_ma_loan_rate/12</f>
        <v/>
      </c>
      <c r="Q65" s="36">
        <f>-P64*inp_ma_loan_rate/12</f>
        <v/>
      </c>
      <c r="R65" s="36">
        <f>-Q64*inp_ma_loan_rate/12</f>
        <v/>
      </c>
      <c r="S65" s="36">
        <f>-R64*inp_ma_loan_rate/12</f>
        <v/>
      </c>
      <c r="T65" s="36">
        <f>-S64*inp_ma_loan_rate/12</f>
        <v/>
      </c>
      <c r="U65" s="36">
        <f>-T64*inp_ma_loan_rate/12</f>
        <v/>
      </c>
      <c r="V65" s="36">
        <f>-U64*inp_ma_loan_rate/12</f>
        <v/>
      </c>
      <c r="W65" s="36">
        <f>-V64*inp_ma_loan_rate/12</f>
        <v/>
      </c>
      <c r="X65" s="36">
        <f>-W64*inp_ma_loan_rate/12</f>
        <v/>
      </c>
      <c r="Y65" s="36">
        <f>-X64*inp_ma_loan_rate/12</f>
        <v/>
      </c>
      <c r="Z65" s="36">
        <f>-Y64*inp_ma_loan_rate/12</f>
        <v/>
      </c>
      <c r="AA65" s="36">
        <f>-Z64*inp_ma_loan_rate/12</f>
        <v/>
      </c>
      <c r="AB65" s="36">
        <f>-AA64*inp_ma_loan_rate/12</f>
        <v/>
      </c>
      <c r="AC65" s="36">
        <f>-AB64*inp_ma_loan_rate/12</f>
        <v/>
      </c>
      <c r="AD65" s="36">
        <f>-AC64*inp_ma_loan_rate/12</f>
        <v/>
      </c>
      <c r="AE65" s="36">
        <f>-AD64*inp_ma_loan_rate/12</f>
        <v/>
      </c>
      <c r="AF65" s="36">
        <f>-AE64*inp_ma_loan_rate/12</f>
        <v/>
      </c>
      <c r="AG65" s="36">
        <f>-AF64*inp_ma_loan_rate/12</f>
        <v/>
      </c>
      <c r="AH65" s="36">
        <f>-AG64*inp_ma_loan_rate/12</f>
        <v/>
      </c>
      <c r="AI65" s="36">
        <f>-AH64*inp_ma_loan_rate/12</f>
        <v/>
      </c>
      <c r="AJ65" s="36">
        <f>-AI64*inp_ma_loan_rate/12</f>
        <v/>
      </c>
      <c r="AK65" s="36">
        <f>-AJ64*inp_ma_loan_rate/12</f>
        <v/>
      </c>
      <c r="AL65" s="36">
        <f>-AK64*inp_ma_loan_rate/12</f>
        <v/>
      </c>
      <c r="AN65" s="36">
        <f>SUMIF($O$5:$AL$5,AN$5,$O65:$AL65)</f>
        <v/>
      </c>
      <c r="AO65" s="36">
        <f>SUMIF($O$5:$AL$5,AO$5,$O65:$AL65)</f>
        <v/>
      </c>
    </row>
    <row r="66">
      <c r="A66" s="5" t="inlineStr">
        <is>
          <t>Interest income lost on cash paid out (prior-period)</t>
        </is>
      </c>
      <c r="B66" s="2" t="inlineStr">
        <is>
          <t>GBP k</t>
        </is>
      </c>
      <c r="O66" s="36">
        <f>(N74-N18-N36)*inp_interest/12</f>
        <v/>
      </c>
      <c r="P66" s="36">
        <f>(O74-O18-O36)*inp_interest/12</f>
        <v/>
      </c>
      <c r="Q66" s="36">
        <f>(P74-P18-P36)*inp_interest/12</f>
        <v/>
      </c>
      <c r="R66" s="36">
        <f>(Q74-Q18-Q36)*inp_interest/12</f>
        <v/>
      </c>
      <c r="S66" s="36">
        <f>(R74-R18-R36)*inp_interest/12</f>
        <v/>
      </c>
      <c r="T66" s="36">
        <f>(S74-S18-S36)*inp_interest/12</f>
        <v/>
      </c>
      <c r="U66" s="36">
        <f>(T74-T18-T36)*inp_interest/12</f>
        <v/>
      </c>
      <c r="V66" s="36">
        <f>(U74-U18-U36)*inp_interest/12</f>
        <v/>
      </c>
      <c r="W66" s="36">
        <f>(V74-V18-V36)*inp_interest/12</f>
        <v/>
      </c>
      <c r="X66" s="36">
        <f>(W74-W18-W36)*inp_interest/12</f>
        <v/>
      </c>
      <c r="Y66" s="36">
        <f>(X74-X18-X36)*inp_interest/12</f>
        <v/>
      </c>
      <c r="Z66" s="36">
        <f>(Y74-Y18-Y36)*inp_interest/12</f>
        <v/>
      </c>
      <c r="AA66" s="36">
        <f>(Z74-Z18-Z36)*inp_interest/12</f>
        <v/>
      </c>
      <c r="AB66" s="36">
        <f>(AA74-AA18-AA36)*inp_interest/12</f>
        <v/>
      </c>
      <c r="AC66" s="36">
        <f>(AB74-AB18-AB36)*inp_interest/12</f>
        <v/>
      </c>
      <c r="AD66" s="36">
        <f>(AC74-AC18-AC36)*inp_interest/12</f>
        <v/>
      </c>
      <c r="AE66" s="36">
        <f>(AD74-AD18-AD36)*inp_interest/12</f>
        <v/>
      </c>
      <c r="AF66" s="36">
        <f>(AE74-AE18-AE36)*inp_interest/12</f>
        <v/>
      </c>
      <c r="AG66" s="36">
        <f>(AF74-AF18-AF36)*inp_interest/12</f>
        <v/>
      </c>
      <c r="AH66" s="36">
        <f>(AG74-AG18-AG36)*inp_interest/12</f>
        <v/>
      </c>
      <c r="AI66" s="36">
        <f>(AH74-AH18-AH36)*inp_interest/12</f>
        <v/>
      </c>
      <c r="AJ66" s="36">
        <f>(AI74-AI18-AI36)*inp_interest/12</f>
        <v/>
      </c>
      <c r="AK66" s="36">
        <f>(AJ74-AJ18-AJ36)*inp_interest/12</f>
        <v/>
      </c>
      <c r="AL66" s="36">
        <f>(AK74-AK18-AK36)*inp_interest/12</f>
        <v/>
      </c>
      <c r="AN66" s="36">
        <f>SUMIF($O$5:$AL$5,AN$5,$O66:$AL66)</f>
        <v/>
      </c>
      <c r="AO66" s="36">
        <f>SUMIF($O$5:$AL$5,AO$5,$O66:$AL66)</f>
        <v/>
      </c>
    </row>
    <row r="68">
      <c r="A68" s="13" t="inlineStr">
        <is>
          <t>Pro-forma income and cash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</row>
    <row r="69">
      <c r="A69" s="3" t="inlineStr">
        <is>
          <t>Pro-forma revenue</t>
        </is>
      </c>
      <c r="B69" s="2" t="inlineStr">
        <is>
          <t>GBP k</t>
        </is>
      </c>
      <c r="O69" s="42">
        <f>O14+O32+O57+O43+O61</f>
        <v/>
      </c>
      <c r="P69" s="42">
        <f>P14+P32+P57+P43+P61</f>
        <v/>
      </c>
      <c r="Q69" s="42">
        <f>Q14+Q32+Q57+Q43+Q61</f>
        <v/>
      </c>
      <c r="R69" s="42">
        <f>R14+R32+R57+R43+R61</f>
        <v/>
      </c>
      <c r="S69" s="42">
        <f>S14+S32+S57+S43+S61</f>
        <v/>
      </c>
      <c r="T69" s="42">
        <f>T14+T32+T57+T43+T61</f>
        <v/>
      </c>
      <c r="U69" s="42">
        <f>U14+U32+U57+U43+U61</f>
        <v/>
      </c>
      <c r="V69" s="42">
        <f>V14+V32+V57+V43+V61</f>
        <v/>
      </c>
      <c r="W69" s="42">
        <f>W14+W32+W57+W43+W61</f>
        <v/>
      </c>
      <c r="X69" s="42">
        <f>X14+X32+X57+X43+X61</f>
        <v/>
      </c>
      <c r="Y69" s="42">
        <f>Y14+Y32+Y57+Y43+Y61</f>
        <v/>
      </c>
      <c r="Z69" s="42">
        <f>Z14+Z32+Z57+Z43+Z61</f>
        <v/>
      </c>
      <c r="AA69" s="42">
        <f>AA14+AA32+AA57+AA43+AA61</f>
        <v/>
      </c>
      <c r="AB69" s="42">
        <f>AB14+AB32+AB57+AB43+AB61</f>
        <v/>
      </c>
      <c r="AC69" s="42">
        <f>AC14+AC32+AC57+AC43+AC61</f>
        <v/>
      </c>
      <c r="AD69" s="42">
        <f>AD14+AD32+AD57+AD43+AD61</f>
        <v/>
      </c>
      <c r="AE69" s="42">
        <f>AE14+AE32+AE57+AE43+AE61</f>
        <v/>
      </c>
      <c r="AF69" s="42">
        <f>AF14+AF32+AF57+AF43+AF61</f>
        <v/>
      </c>
      <c r="AG69" s="42">
        <f>AG14+AG32+AG57+AG43+AG61</f>
        <v/>
      </c>
      <c r="AH69" s="42">
        <f>AH14+AH32+AH57+AH43+AH61</f>
        <v/>
      </c>
      <c r="AI69" s="42">
        <f>AI14+AI32+AI57+AI43+AI61</f>
        <v/>
      </c>
      <c r="AJ69" s="42">
        <f>AJ14+AJ32+AJ57+AJ43+AJ61</f>
        <v/>
      </c>
      <c r="AK69" s="42">
        <f>AK14+AK32+AK57+AK43+AK61</f>
        <v/>
      </c>
      <c r="AL69" s="42">
        <f>AL14+AL32+AL57+AL43+AL61</f>
        <v/>
      </c>
      <c r="AN69" s="42">
        <f>SUMIF($O$5:$AL$5,AN$5,$O69:$AL69)</f>
        <v/>
      </c>
      <c r="AO69" s="42">
        <f>SUMIF($O$5:$AL$5,AO$5,$O69:$AL69)</f>
        <v/>
      </c>
    </row>
    <row r="70">
      <c r="A70" s="3" t="inlineStr">
        <is>
          <t>Pro-forma EBITDA</t>
        </is>
      </c>
      <c r="B70" s="2" t="inlineStr">
        <is>
          <t>GBP k</t>
        </is>
      </c>
      <c r="O70" s="42">
        <f>O15+O33+O58+O59+O60+O61</f>
        <v/>
      </c>
      <c r="P70" s="42">
        <f>P15+P33+P58+P59+P60+P61</f>
        <v/>
      </c>
      <c r="Q70" s="42">
        <f>Q15+Q33+Q58+Q59+Q60+Q61</f>
        <v/>
      </c>
      <c r="R70" s="42">
        <f>R15+R33+R58+R59+R60+R61</f>
        <v/>
      </c>
      <c r="S70" s="42">
        <f>S15+S33+S58+S59+S60+S61</f>
        <v/>
      </c>
      <c r="T70" s="42">
        <f>T15+T33+T58+T59+T60+T61</f>
        <v/>
      </c>
      <c r="U70" s="42">
        <f>U15+U33+U58+U59+U60+U61</f>
        <v/>
      </c>
      <c r="V70" s="42">
        <f>V15+V33+V58+V59+V60+V61</f>
        <v/>
      </c>
      <c r="W70" s="42">
        <f>W15+W33+W58+W59+W60+W61</f>
        <v/>
      </c>
      <c r="X70" s="42">
        <f>X15+X33+X58+X59+X60+X61</f>
        <v/>
      </c>
      <c r="Y70" s="42">
        <f>Y15+Y33+Y58+Y59+Y60+Y61</f>
        <v/>
      </c>
      <c r="Z70" s="42">
        <f>Z15+Z33+Z58+Z59+Z60+Z61</f>
        <v/>
      </c>
      <c r="AA70" s="42">
        <f>AA15+AA33+AA58+AA59+AA60+AA61</f>
        <v/>
      </c>
      <c r="AB70" s="42">
        <f>AB15+AB33+AB58+AB59+AB60+AB61</f>
        <v/>
      </c>
      <c r="AC70" s="42">
        <f>AC15+AC33+AC58+AC59+AC60+AC61</f>
        <v/>
      </c>
      <c r="AD70" s="42">
        <f>AD15+AD33+AD58+AD59+AD60+AD61</f>
        <v/>
      </c>
      <c r="AE70" s="42">
        <f>AE15+AE33+AE58+AE59+AE60+AE61</f>
        <v/>
      </c>
      <c r="AF70" s="42">
        <f>AF15+AF33+AF58+AF59+AF60+AF61</f>
        <v/>
      </c>
      <c r="AG70" s="42">
        <f>AG15+AG33+AG58+AG59+AG60+AG61</f>
        <v/>
      </c>
      <c r="AH70" s="42">
        <f>AH15+AH33+AH58+AH59+AH60+AH61</f>
        <v/>
      </c>
      <c r="AI70" s="42">
        <f>AI15+AI33+AI58+AI59+AI60+AI61</f>
        <v/>
      </c>
      <c r="AJ70" s="42">
        <f>AJ15+AJ33+AJ58+AJ59+AJ60+AJ61</f>
        <v/>
      </c>
      <c r="AK70" s="42">
        <f>AK15+AK33+AK58+AK59+AK60+AK61</f>
        <v/>
      </c>
      <c r="AL70" s="42">
        <f>AL15+AL33+AL58+AL59+AL60+AL61</f>
        <v/>
      </c>
      <c r="AN70" s="42">
        <f>SUMIF($O$5:$AL$5,AN$5,$O70:$AL70)</f>
        <v/>
      </c>
      <c r="AO70" s="42">
        <f>SUMIF($O$5:$AL$5,AO$5,$O70:$AL70)</f>
        <v/>
      </c>
    </row>
    <row r="71">
      <c r="A71" s="3" t="inlineStr">
        <is>
          <t>Pro-forma net income</t>
        </is>
      </c>
      <c r="B71" s="2" t="inlineStr">
        <is>
          <t>GBP k</t>
        </is>
      </c>
      <c r="O71" s="42">
        <f>O16+O34+O58+O59+O60+O61+O62+O63+O65+O66</f>
        <v/>
      </c>
      <c r="P71" s="42">
        <f>P16+P34+P58+P59+P60+P61+P62+P63+P65+P66</f>
        <v/>
      </c>
      <c r="Q71" s="42">
        <f>Q16+Q34+Q58+Q59+Q60+Q61+Q62+Q63+Q65+Q66</f>
        <v/>
      </c>
      <c r="R71" s="42">
        <f>R16+R34+R58+R59+R60+R61+R62+R63+R65+R66</f>
        <v/>
      </c>
      <c r="S71" s="42">
        <f>S16+S34+S58+S59+S60+S61+S62+S63+S65+S66</f>
        <v/>
      </c>
      <c r="T71" s="42">
        <f>T16+T34+T58+T59+T60+T61+T62+T63+T65+T66</f>
        <v/>
      </c>
      <c r="U71" s="42">
        <f>U16+U34+U58+U59+U60+U61+U62+U63+U65+U66</f>
        <v/>
      </c>
      <c r="V71" s="42">
        <f>V16+V34+V58+V59+V60+V61+V62+V63+V65+V66</f>
        <v/>
      </c>
      <c r="W71" s="42">
        <f>W16+W34+W58+W59+W60+W61+W62+W63+W65+W66</f>
        <v/>
      </c>
      <c r="X71" s="42">
        <f>X16+X34+X58+X59+X60+X61+X62+X63+X65+X66</f>
        <v/>
      </c>
      <c r="Y71" s="42">
        <f>Y16+Y34+Y58+Y59+Y60+Y61+Y62+Y63+Y65+Y66</f>
        <v/>
      </c>
      <c r="Z71" s="42">
        <f>Z16+Z34+Z58+Z59+Z60+Z61+Z62+Z63+Z65+Z66</f>
        <v/>
      </c>
      <c r="AA71" s="42">
        <f>AA16+AA34+AA58+AA59+AA60+AA61+AA62+AA63+AA65+AA66</f>
        <v/>
      </c>
      <c r="AB71" s="42">
        <f>AB16+AB34+AB58+AB59+AB60+AB61+AB62+AB63+AB65+AB66</f>
        <v/>
      </c>
      <c r="AC71" s="42">
        <f>AC16+AC34+AC58+AC59+AC60+AC61+AC62+AC63+AC65+AC66</f>
        <v/>
      </c>
      <c r="AD71" s="42">
        <f>AD16+AD34+AD58+AD59+AD60+AD61+AD62+AD63+AD65+AD66</f>
        <v/>
      </c>
      <c r="AE71" s="42">
        <f>AE16+AE34+AE58+AE59+AE60+AE61+AE62+AE63+AE65+AE66</f>
        <v/>
      </c>
      <c r="AF71" s="42">
        <f>AF16+AF34+AF58+AF59+AF60+AF61+AF62+AF63+AF65+AF66</f>
        <v/>
      </c>
      <c r="AG71" s="42">
        <f>AG16+AG34+AG58+AG59+AG60+AG61+AG62+AG63+AG65+AG66</f>
        <v/>
      </c>
      <c r="AH71" s="42">
        <f>AH16+AH34+AH58+AH59+AH60+AH61+AH62+AH63+AH65+AH66</f>
        <v/>
      </c>
      <c r="AI71" s="42">
        <f>AI16+AI34+AI58+AI59+AI60+AI61+AI62+AI63+AI65+AI66</f>
        <v/>
      </c>
      <c r="AJ71" s="42">
        <f>AJ16+AJ34+AJ58+AJ59+AJ60+AJ61+AJ62+AJ63+AJ65+AJ66</f>
        <v/>
      </c>
      <c r="AK71" s="42">
        <f>AK16+AK34+AK58+AK59+AK60+AK61+AK62+AK63+AK65+AK66</f>
        <v/>
      </c>
      <c r="AL71" s="42">
        <f>AL16+AL34+AL58+AL59+AL60+AL61+AL62+AL63+AL65+AL66</f>
        <v/>
      </c>
      <c r="AN71" s="42">
        <f>SUMIF($O$5:$AL$5,AN$5,$O71:$AL71)</f>
        <v/>
      </c>
      <c r="AO71" s="42">
        <f>SUMIF($O$5:$AL$5,AO$5,$O71:$AL71)</f>
        <v/>
      </c>
    </row>
    <row r="72">
      <c r="A72" s="5" t="inlineStr">
        <is>
          <t>Cash effect of adjustments</t>
        </is>
      </c>
      <c r="B72" s="2" t="inlineStr">
        <is>
          <t>GBP k</t>
        </is>
      </c>
      <c r="O72" s="36">
        <f>O58+O59+O60+O65+O66</f>
        <v/>
      </c>
      <c r="P72" s="36">
        <f>P58+P59+P60+P65+P66</f>
        <v/>
      </c>
      <c r="Q72" s="36">
        <f>Q58+Q59+Q60+Q65+Q66</f>
        <v/>
      </c>
      <c r="R72" s="36">
        <f>R58+R59+R60+R65+R66</f>
        <v/>
      </c>
      <c r="S72" s="36">
        <f>S58+S59+S60+S65+S66</f>
        <v/>
      </c>
      <c r="T72" s="36">
        <f>T58+T59+T60+T65+T66</f>
        <v/>
      </c>
      <c r="U72" s="36">
        <f>U58+U59+U60+U65+U66</f>
        <v/>
      </c>
      <c r="V72" s="36">
        <f>V58+V59+V60+V65+V66</f>
        <v/>
      </c>
      <c r="W72" s="36">
        <f>W58+W59+W60+W65+W66</f>
        <v/>
      </c>
      <c r="X72" s="36">
        <f>X58+X59+X60+X65+X66</f>
        <v/>
      </c>
      <c r="Y72" s="36">
        <f>Y58+Y59+Y60+Y65+Y66</f>
        <v/>
      </c>
      <c r="Z72" s="36">
        <f>Z58+Z59+Z60+Z65+Z66</f>
        <v/>
      </c>
      <c r="AA72" s="36">
        <f>AA58+AA59+AA60+AA65+AA66</f>
        <v/>
      </c>
      <c r="AB72" s="36">
        <f>AB58+AB59+AB60+AB65+AB66</f>
        <v/>
      </c>
      <c r="AC72" s="36">
        <f>AC58+AC59+AC60+AC65+AC66</f>
        <v/>
      </c>
      <c r="AD72" s="36">
        <f>AD58+AD59+AD60+AD65+AD66</f>
        <v/>
      </c>
      <c r="AE72" s="36">
        <f>AE58+AE59+AE60+AE65+AE66</f>
        <v/>
      </c>
      <c r="AF72" s="36">
        <f>AF58+AF59+AF60+AF65+AF66</f>
        <v/>
      </c>
      <c r="AG72" s="36">
        <f>AG58+AG59+AG60+AG65+AG66</f>
        <v/>
      </c>
      <c r="AH72" s="36">
        <f>AH58+AH59+AH60+AH65+AH66</f>
        <v/>
      </c>
      <c r="AI72" s="36">
        <f>AI58+AI59+AI60+AI65+AI66</f>
        <v/>
      </c>
      <c r="AJ72" s="36">
        <f>AJ58+AJ59+AJ60+AJ65+AJ66</f>
        <v/>
      </c>
      <c r="AK72" s="36">
        <f>AK58+AK59+AK60+AK65+AK66</f>
        <v/>
      </c>
      <c r="AL72" s="36">
        <f>AL58+AL59+AL60+AL65+AL66</f>
        <v/>
      </c>
      <c r="AN72" s="36">
        <f>SUMIF($O$5:$AL$5,AN$5,$O72:$AL72)</f>
        <v/>
      </c>
      <c r="AO72" s="36">
        <f>SUMIF($O$5:$AL$5,AO$5,$O72:$AL72)</f>
        <v/>
      </c>
    </row>
    <row r="73">
      <c r="A73" s="3" t="inlineStr">
        <is>
          <t>Pro-forma free cash flow</t>
        </is>
      </c>
      <c r="B73" s="2" t="inlineStr">
        <is>
          <t>GBP k</t>
        </is>
      </c>
      <c r="O73" s="42">
        <f>O17+O35+O72</f>
        <v/>
      </c>
      <c r="P73" s="42">
        <f>P17+P35+P72</f>
        <v/>
      </c>
      <c r="Q73" s="42">
        <f>Q17+Q35+Q72</f>
        <v/>
      </c>
      <c r="R73" s="42">
        <f>R17+R35+R72</f>
        <v/>
      </c>
      <c r="S73" s="42">
        <f>S17+S35+S72</f>
        <v/>
      </c>
      <c r="T73" s="42">
        <f>T17+T35+T72</f>
        <v/>
      </c>
      <c r="U73" s="42">
        <f>U17+U35+U72</f>
        <v/>
      </c>
      <c r="V73" s="42">
        <f>V17+V35+V72</f>
        <v/>
      </c>
      <c r="W73" s="42">
        <f>W17+W35+W72</f>
        <v/>
      </c>
      <c r="X73" s="42">
        <f>X17+X35+X72</f>
        <v/>
      </c>
      <c r="Y73" s="42">
        <f>Y17+Y35+Y72</f>
        <v/>
      </c>
      <c r="Z73" s="42">
        <f>Z17+Z35+Z72</f>
        <v/>
      </c>
      <c r="AA73" s="42">
        <f>AA17+AA35+AA72</f>
        <v/>
      </c>
      <c r="AB73" s="42">
        <f>AB17+AB35+AB72</f>
        <v/>
      </c>
      <c r="AC73" s="42">
        <f>AC17+AC35+AC72</f>
        <v/>
      </c>
      <c r="AD73" s="42">
        <f>AD17+AD35+AD72</f>
        <v/>
      </c>
      <c r="AE73" s="42">
        <f>AE17+AE35+AE72</f>
        <v/>
      </c>
      <c r="AF73" s="42">
        <f>AF17+AF35+AF72</f>
        <v/>
      </c>
      <c r="AG73" s="42">
        <f>AG17+AG35+AG72</f>
        <v/>
      </c>
      <c r="AH73" s="42">
        <f>AH17+AH35+AH72</f>
        <v/>
      </c>
      <c r="AI73" s="42">
        <f>AI17+AI35+AI72</f>
        <v/>
      </c>
      <c r="AJ73" s="42">
        <f>AJ17+AJ35+AJ72</f>
        <v/>
      </c>
      <c r="AK73" s="42">
        <f>AK17+AK35+AK72</f>
        <v/>
      </c>
      <c r="AL73" s="42">
        <f>AL17+AL35+AL72</f>
        <v/>
      </c>
      <c r="AN73" s="42">
        <f>SUMIF($O$5:$AL$5,AN$5,$O73:$AL73)</f>
        <v/>
      </c>
      <c r="AO73" s="42">
        <f>SUMIF($O$5:$AL$5,AO$5,$O73:$AL73)</f>
        <v/>
      </c>
    </row>
    <row r="74">
      <c r="A74" s="37" t="inlineStr">
        <is>
          <t>Pro-forma closing cash</t>
        </is>
      </c>
      <c r="B74" s="38" t="inlineStr">
        <is>
          <t>GBP k</t>
        </is>
      </c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40">
        <f>N18+N36-inp_ma_include*MA_PPA!$C$10+inp_ma_include*MA_PPA!$C$11</f>
        <v/>
      </c>
      <c r="O74" s="40">
        <f>N74+O73</f>
        <v/>
      </c>
      <c r="P74" s="40">
        <f>O74+P73</f>
        <v/>
      </c>
      <c r="Q74" s="40">
        <f>P74+Q73</f>
        <v/>
      </c>
      <c r="R74" s="40">
        <f>Q74+R73</f>
        <v/>
      </c>
      <c r="S74" s="40">
        <f>R74+S73</f>
        <v/>
      </c>
      <c r="T74" s="40">
        <f>S74+T73</f>
        <v/>
      </c>
      <c r="U74" s="40">
        <f>T74+U73</f>
        <v/>
      </c>
      <c r="V74" s="40">
        <f>U74+V73</f>
        <v/>
      </c>
      <c r="W74" s="40">
        <f>V74+W73</f>
        <v/>
      </c>
      <c r="X74" s="40">
        <f>W74+X73</f>
        <v/>
      </c>
      <c r="Y74" s="40">
        <f>X74+Y73</f>
        <v/>
      </c>
      <c r="Z74" s="40">
        <f>Y74+Z73</f>
        <v/>
      </c>
      <c r="AA74" s="40">
        <f>Z74+AA73</f>
        <v/>
      </c>
      <c r="AB74" s="40">
        <f>AA74+AB73</f>
        <v/>
      </c>
      <c r="AC74" s="40">
        <f>AB74+AC73</f>
        <v/>
      </c>
      <c r="AD74" s="40">
        <f>AC74+AD73</f>
        <v/>
      </c>
      <c r="AE74" s="40">
        <f>AD74+AE73</f>
        <v/>
      </c>
      <c r="AF74" s="40">
        <f>AE74+AF73</f>
        <v/>
      </c>
      <c r="AG74" s="40">
        <f>AF74+AG73</f>
        <v/>
      </c>
      <c r="AH74" s="40">
        <f>AG74+AH73</f>
        <v/>
      </c>
      <c r="AI74" s="40">
        <f>AH74+AI73</f>
        <v/>
      </c>
      <c r="AJ74" s="40">
        <f>AI74+AJ73</f>
        <v/>
      </c>
      <c r="AK74" s="40">
        <f>AJ74+AK73</f>
        <v/>
      </c>
      <c r="AL74" s="40">
        <f>AK74+AL73</f>
        <v/>
      </c>
      <c r="AM74" s="39" t="n"/>
      <c r="AN74" s="40">
        <f>INDEX($O74:$AL74,1,AN$5*12)</f>
        <v/>
      </c>
      <c r="AO74" s="40">
        <f>INDEX($O74:$AL74,1,AO$5*12)</f>
        <v/>
      </c>
    </row>
    <row r="76">
      <c r="A76" s="13" t="inlineStr">
        <is>
          <t>Pro-forma balance sheet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</row>
    <row r="77">
      <c r="A77" s="5" t="inlineStr">
        <is>
          <t>Cash</t>
        </is>
      </c>
      <c r="B77" s="2" t="inlineStr">
        <is>
          <t>GBP k</t>
        </is>
      </c>
      <c r="N77" s="36">
        <f>N74</f>
        <v/>
      </c>
      <c r="O77" s="36">
        <f>O74</f>
        <v/>
      </c>
      <c r="P77" s="36">
        <f>P74</f>
        <v/>
      </c>
      <c r="Q77" s="36">
        <f>Q74</f>
        <v/>
      </c>
      <c r="R77" s="36">
        <f>R74</f>
        <v/>
      </c>
      <c r="S77" s="36">
        <f>S74</f>
        <v/>
      </c>
      <c r="T77" s="36">
        <f>T74</f>
        <v/>
      </c>
      <c r="U77" s="36">
        <f>U74</f>
        <v/>
      </c>
      <c r="V77" s="36">
        <f>V74</f>
        <v/>
      </c>
      <c r="W77" s="36">
        <f>W74</f>
        <v/>
      </c>
      <c r="X77" s="36">
        <f>X74</f>
        <v/>
      </c>
      <c r="Y77" s="36">
        <f>Y74</f>
        <v/>
      </c>
      <c r="Z77" s="36">
        <f>Z74</f>
        <v/>
      </c>
      <c r="AA77" s="36">
        <f>AA74</f>
        <v/>
      </c>
      <c r="AB77" s="36">
        <f>AB74</f>
        <v/>
      </c>
      <c r="AC77" s="36">
        <f>AC74</f>
        <v/>
      </c>
      <c r="AD77" s="36">
        <f>AD74</f>
        <v/>
      </c>
      <c r="AE77" s="36">
        <f>AE74</f>
        <v/>
      </c>
      <c r="AF77" s="36">
        <f>AF74</f>
        <v/>
      </c>
      <c r="AG77" s="36">
        <f>AG74</f>
        <v/>
      </c>
      <c r="AH77" s="36">
        <f>AH74</f>
        <v/>
      </c>
      <c r="AI77" s="36">
        <f>AI74</f>
        <v/>
      </c>
      <c r="AJ77" s="36">
        <f>AJ74</f>
        <v/>
      </c>
      <c r="AK77" s="36">
        <f>AK74</f>
        <v/>
      </c>
      <c r="AL77" s="36">
        <f>AL74</f>
        <v/>
      </c>
      <c r="AN77" s="36">
        <f>INDEX($O77:$AL77,1,AN$5*12)</f>
        <v/>
      </c>
      <c r="AO77" s="36">
        <f>INDEX($O77:$AL77,1,AO$5*12)</f>
        <v/>
      </c>
    </row>
    <row r="78">
      <c r="A78" s="5" t="inlineStr">
        <is>
          <t>Trade receivables</t>
        </is>
      </c>
      <c r="B78" s="2" t="inlineStr">
        <is>
          <t>GBP k</t>
        </is>
      </c>
      <c r="N78" s="36">
        <f>N19+N37</f>
        <v/>
      </c>
      <c r="O78" s="36">
        <f>O19+O37</f>
        <v/>
      </c>
      <c r="P78" s="36">
        <f>P19+P37</f>
        <v/>
      </c>
      <c r="Q78" s="36">
        <f>Q19+Q37</f>
        <v/>
      </c>
      <c r="R78" s="36">
        <f>R19+R37</f>
        <v/>
      </c>
      <c r="S78" s="36">
        <f>S19+S37</f>
        <v/>
      </c>
      <c r="T78" s="36">
        <f>T19+T37</f>
        <v/>
      </c>
      <c r="U78" s="36">
        <f>U19+U37</f>
        <v/>
      </c>
      <c r="V78" s="36">
        <f>V19+V37</f>
        <v/>
      </c>
      <c r="W78" s="36">
        <f>W19+W37</f>
        <v/>
      </c>
      <c r="X78" s="36">
        <f>X19+X37</f>
        <v/>
      </c>
      <c r="Y78" s="36">
        <f>Y19+Y37</f>
        <v/>
      </c>
      <c r="Z78" s="36">
        <f>Z19+Z37</f>
        <v/>
      </c>
      <c r="AA78" s="36">
        <f>AA19+AA37</f>
        <v/>
      </c>
      <c r="AB78" s="36">
        <f>AB19+AB37</f>
        <v/>
      </c>
      <c r="AC78" s="36">
        <f>AC19+AC37</f>
        <v/>
      </c>
      <c r="AD78" s="36">
        <f>AD19+AD37</f>
        <v/>
      </c>
      <c r="AE78" s="36">
        <f>AE19+AE37</f>
        <v/>
      </c>
      <c r="AF78" s="36">
        <f>AF19+AF37</f>
        <v/>
      </c>
      <c r="AG78" s="36">
        <f>AG19+AG37</f>
        <v/>
      </c>
      <c r="AH78" s="36">
        <f>AH19+AH37</f>
        <v/>
      </c>
      <c r="AI78" s="36">
        <f>AI19+AI37</f>
        <v/>
      </c>
      <c r="AJ78" s="36">
        <f>AJ19+AJ37</f>
        <v/>
      </c>
      <c r="AK78" s="36">
        <f>AK19+AK37</f>
        <v/>
      </c>
      <c r="AL78" s="36">
        <f>AL19+AL37</f>
        <v/>
      </c>
      <c r="AN78" s="36">
        <f>INDEX($O78:$AL78,1,AN$5*12)</f>
        <v/>
      </c>
      <c r="AO78" s="36">
        <f>INDEX($O78:$AL78,1,AO$5*12)</f>
        <v/>
      </c>
    </row>
    <row r="79">
      <c r="A79" s="5" t="inlineStr">
        <is>
          <t>PP&amp;E</t>
        </is>
      </c>
      <c r="B79" s="2" t="inlineStr">
        <is>
          <t>GBP k</t>
        </is>
      </c>
      <c r="N79" s="36">
        <f>N20+N38</f>
        <v/>
      </c>
      <c r="O79" s="36">
        <f>O20+O38</f>
        <v/>
      </c>
      <c r="P79" s="36">
        <f>P20+P38</f>
        <v/>
      </c>
      <c r="Q79" s="36">
        <f>Q20+Q38</f>
        <v/>
      </c>
      <c r="R79" s="36">
        <f>R20+R38</f>
        <v/>
      </c>
      <c r="S79" s="36">
        <f>S20+S38</f>
        <v/>
      </c>
      <c r="T79" s="36">
        <f>T20+T38</f>
        <v/>
      </c>
      <c r="U79" s="36">
        <f>U20+U38</f>
        <v/>
      </c>
      <c r="V79" s="36">
        <f>V20+V38</f>
        <v/>
      </c>
      <c r="W79" s="36">
        <f>W20+W38</f>
        <v/>
      </c>
      <c r="X79" s="36">
        <f>X20+X38</f>
        <v/>
      </c>
      <c r="Y79" s="36">
        <f>Y20+Y38</f>
        <v/>
      </c>
      <c r="Z79" s="36">
        <f>Z20+Z38</f>
        <v/>
      </c>
      <c r="AA79" s="36">
        <f>AA20+AA38</f>
        <v/>
      </c>
      <c r="AB79" s="36">
        <f>AB20+AB38</f>
        <v/>
      </c>
      <c r="AC79" s="36">
        <f>AC20+AC38</f>
        <v/>
      </c>
      <c r="AD79" s="36">
        <f>AD20+AD38</f>
        <v/>
      </c>
      <c r="AE79" s="36">
        <f>AE20+AE38</f>
        <v/>
      </c>
      <c r="AF79" s="36">
        <f>AF20+AF38</f>
        <v/>
      </c>
      <c r="AG79" s="36">
        <f>AG20+AG38</f>
        <v/>
      </c>
      <c r="AH79" s="36">
        <f>AH20+AH38</f>
        <v/>
      </c>
      <c r="AI79" s="36">
        <f>AI20+AI38</f>
        <v/>
      </c>
      <c r="AJ79" s="36">
        <f>AJ20+AJ38</f>
        <v/>
      </c>
      <c r="AK79" s="36">
        <f>AK20+AK38</f>
        <v/>
      </c>
      <c r="AL79" s="36">
        <f>AL20+AL38</f>
        <v/>
      </c>
      <c r="AN79" s="36">
        <f>INDEX($O79:$AL79,1,AN$5*12)</f>
        <v/>
      </c>
      <c r="AO79" s="36">
        <f>INDEX($O79:$AL79,1,AO$5*12)</f>
        <v/>
      </c>
    </row>
    <row r="80">
      <c r="A80" s="5" t="inlineStr">
        <is>
          <t>Capitalised contract costs</t>
        </is>
      </c>
      <c r="B80" s="2" t="inlineStr">
        <is>
          <t>GBP k</t>
        </is>
      </c>
      <c r="N80" s="36">
        <f>N21</f>
        <v/>
      </c>
      <c r="O80" s="36">
        <f>O21</f>
        <v/>
      </c>
      <c r="P80" s="36">
        <f>P21</f>
        <v/>
      </c>
      <c r="Q80" s="36">
        <f>Q21</f>
        <v/>
      </c>
      <c r="R80" s="36">
        <f>R21</f>
        <v/>
      </c>
      <c r="S80" s="36">
        <f>S21</f>
        <v/>
      </c>
      <c r="T80" s="36">
        <f>T21</f>
        <v/>
      </c>
      <c r="U80" s="36">
        <f>U21</f>
        <v/>
      </c>
      <c r="V80" s="36">
        <f>V21</f>
        <v/>
      </c>
      <c r="W80" s="36">
        <f>W21</f>
        <v/>
      </c>
      <c r="X80" s="36">
        <f>X21</f>
        <v/>
      </c>
      <c r="Y80" s="36">
        <f>Y21</f>
        <v/>
      </c>
      <c r="Z80" s="36">
        <f>Z21</f>
        <v/>
      </c>
      <c r="AA80" s="36">
        <f>AA21</f>
        <v/>
      </c>
      <c r="AB80" s="36">
        <f>AB21</f>
        <v/>
      </c>
      <c r="AC80" s="36">
        <f>AC21</f>
        <v/>
      </c>
      <c r="AD80" s="36">
        <f>AD21</f>
        <v/>
      </c>
      <c r="AE80" s="36">
        <f>AE21</f>
        <v/>
      </c>
      <c r="AF80" s="36">
        <f>AF21</f>
        <v/>
      </c>
      <c r="AG80" s="36">
        <f>AG21</f>
        <v/>
      </c>
      <c r="AH80" s="36">
        <f>AH21</f>
        <v/>
      </c>
      <c r="AI80" s="36">
        <f>AI21</f>
        <v/>
      </c>
      <c r="AJ80" s="36">
        <f>AJ21</f>
        <v/>
      </c>
      <c r="AK80" s="36">
        <f>AK21</f>
        <v/>
      </c>
      <c r="AL80" s="36">
        <f>AL21</f>
        <v/>
      </c>
      <c r="AN80" s="36">
        <f>INDEX($O80:$AL80,1,AN$5*12)</f>
        <v/>
      </c>
      <c r="AO80" s="36">
        <f>INDEX($O80:$AL80,1,AO$5*12)</f>
        <v/>
      </c>
    </row>
    <row r="81">
      <c r="A81" s="5" t="inlineStr">
        <is>
          <t>Acquired intangibles (net)</t>
        </is>
      </c>
      <c r="B81" s="2" t="inlineStr">
        <is>
          <t>GBP k</t>
        </is>
      </c>
      <c r="N81" s="36">
        <f>inp_ma_include*(MA_PPA!$C$25+MA_PPA!$C$26)</f>
        <v/>
      </c>
      <c r="O81" s="36">
        <f>N81+O62</f>
        <v/>
      </c>
      <c r="P81" s="36">
        <f>O81+P62</f>
        <v/>
      </c>
      <c r="Q81" s="36">
        <f>P81+Q62</f>
        <v/>
      </c>
      <c r="R81" s="36">
        <f>Q81+R62</f>
        <v/>
      </c>
      <c r="S81" s="36">
        <f>R81+S62</f>
        <v/>
      </c>
      <c r="T81" s="36">
        <f>S81+T62</f>
        <v/>
      </c>
      <c r="U81" s="36">
        <f>T81+U62</f>
        <v/>
      </c>
      <c r="V81" s="36">
        <f>U81+V62</f>
        <v/>
      </c>
      <c r="W81" s="36">
        <f>V81+W62</f>
        <v/>
      </c>
      <c r="X81" s="36">
        <f>W81+X62</f>
        <v/>
      </c>
      <c r="Y81" s="36">
        <f>X81+Y62</f>
        <v/>
      </c>
      <c r="Z81" s="36">
        <f>Y81+Z62</f>
        <v/>
      </c>
      <c r="AA81" s="36">
        <f>Z81+AA62</f>
        <v/>
      </c>
      <c r="AB81" s="36">
        <f>AA81+AB62</f>
        <v/>
      </c>
      <c r="AC81" s="36">
        <f>AB81+AC62</f>
        <v/>
      </c>
      <c r="AD81" s="36">
        <f>AC81+AD62</f>
        <v/>
      </c>
      <c r="AE81" s="36">
        <f>AD81+AE62</f>
        <v/>
      </c>
      <c r="AF81" s="36">
        <f>AE81+AF62</f>
        <v/>
      </c>
      <c r="AG81" s="36">
        <f>AF81+AG62</f>
        <v/>
      </c>
      <c r="AH81" s="36">
        <f>AG81+AH62</f>
        <v/>
      </c>
      <c r="AI81" s="36">
        <f>AH81+AI62</f>
        <v/>
      </c>
      <c r="AJ81" s="36">
        <f>AI81+AJ62</f>
        <v/>
      </c>
      <c r="AK81" s="36">
        <f>AJ81+AK62</f>
        <v/>
      </c>
      <c r="AL81" s="36">
        <f>AK81+AL62</f>
        <v/>
      </c>
      <c r="AN81" s="36">
        <f>INDEX($O81:$AL81,1,AN$5*12)</f>
        <v/>
      </c>
      <c r="AO81" s="36">
        <f>INDEX($O81:$AL81,1,AO$5*12)</f>
        <v/>
      </c>
    </row>
    <row r="82">
      <c r="A82" s="5" t="inlineStr">
        <is>
          <t>Goodwill</t>
        </is>
      </c>
      <c r="B82" s="2" t="inlineStr">
        <is>
          <t>GBP k</t>
        </is>
      </c>
      <c r="N82" s="36">
        <f>inp_ma_include*MA_PPA!$C$31</f>
        <v/>
      </c>
      <c r="O82" s="36">
        <f>N82</f>
        <v/>
      </c>
      <c r="P82" s="36">
        <f>O82</f>
        <v/>
      </c>
      <c r="Q82" s="36">
        <f>P82</f>
        <v/>
      </c>
      <c r="R82" s="36">
        <f>Q82</f>
        <v/>
      </c>
      <c r="S82" s="36">
        <f>R82</f>
        <v/>
      </c>
      <c r="T82" s="36">
        <f>S82</f>
        <v/>
      </c>
      <c r="U82" s="36">
        <f>T82</f>
        <v/>
      </c>
      <c r="V82" s="36">
        <f>U82</f>
        <v/>
      </c>
      <c r="W82" s="36">
        <f>V82</f>
        <v/>
      </c>
      <c r="X82" s="36">
        <f>W82</f>
        <v/>
      </c>
      <c r="Y82" s="36">
        <f>X82</f>
        <v/>
      </c>
      <c r="Z82" s="36">
        <f>Y82</f>
        <v/>
      </c>
      <c r="AA82" s="36">
        <f>Z82</f>
        <v/>
      </c>
      <c r="AB82" s="36">
        <f>AA82</f>
        <v/>
      </c>
      <c r="AC82" s="36">
        <f>AB82</f>
        <v/>
      </c>
      <c r="AD82" s="36">
        <f>AC82</f>
        <v/>
      </c>
      <c r="AE82" s="36">
        <f>AD82</f>
        <v/>
      </c>
      <c r="AF82" s="36">
        <f>AE82</f>
        <v/>
      </c>
      <c r="AG82" s="36">
        <f>AF82</f>
        <v/>
      </c>
      <c r="AH82" s="36">
        <f>AG82</f>
        <v/>
      </c>
      <c r="AI82" s="36">
        <f>AH82</f>
        <v/>
      </c>
      <c r="AJ82" s="36">
        <f>AI82</f>
        <v/>
      </c>
      <c r="AK82" s="36">
        <f>AJ82</f>
        <v/>
      </c>
      <c r="AL82" s="36">
        <f>AK82</f>
        <v/>
      </c>
      <c r="AN82" s="36">
        <f>INDEX($O82:$AL82,1,AN$5*12)</f>
        <v/>
      </c>
      <c r="AO82" s="36">
        <f>INDEX($O82:$AL82,1,AO$5*12)</f>
        <v/>
      </c>
    </row>
    <row r="83">
      <c r="A83" s="37" t="inlineStr">
        <is>
          <t>Total assets</t>
        </is>
      </c>
      <c r="B83" s="38" t="inlineStr">
        <is>
          <t>GBP k</t>
        </is>
      </c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40">
        <f>SUM(N77:N82)</f>
        <v/>
      </c>
      <c r="O83" s="40">
        <f>SUM(O77:O82)</f>
        <v/>
      </c>
      <c r="P83" s="40">
        <f>SUM(P77:P82)</f>
        <v/>
      </c>
      <c r="Q83" s="40">
        <f>SUM(Q77:Q82)</f>
        <v/>
      </c>
      <c r="R83" s="40">
        <f>SUM(R77:R82)</f>
        <v/>
      </c>
      <c r="S83" s="40">
        <f>SUM(S77:S82)</f>
        <v/>
      </c>
      <c r="T83" s="40">
        <f>SUM(T77:T82)</f>
        <v/>
      </c>
      <c r="U83" s="40">
        <f>SUM(U77:U82)</f>
        <v/>
      </c>
      <c r="V83" s="40">
        <f>SUM(V77:V82)</f>
        <v/>
      </c>
      <c r="W83" s="40">
        <f>SUM(W77:W82)</f>
        <v/>
      </c>
      <c r="X83" s="40">
        <f>SUM(X77:X82)</f>
        <v/>
      </c>
      <c r="Y83" s="40">
        <f>SUM(Y77:Y82)</f>
        <v/>
      </c>
      <c r="Z83" s="40">
        <f>SUM(Z77:Z82)</f>
        <v/>
      </c>
      <c r="AA83" s="40">
        <f>SUM(AA77:AA82)</f>
        <v/>
      </c>
      <c r="AB83" s="40">
        <f>SUM(AB77:AB82)</f>
        <v/>
      </c>
      <c r="AC83" s="40">
        <f>SUM(AC77:AC82)</f>
        <v/>
      </c>
      <c r="AD83" s="40">
        <f>SUM(AD77:AD82)</f>
        <v/>
      </c>
      <c r="AE83" s="40">
        <f>SUM(AE77:AE82)</f>
        <v/>
      </c>
      <c r="AF83" s="40">
        <f>SUM(AF77:AF82)</f>
        <v/>
      </c>
      <c r="AG83" s="40">
        <f>SUM(AG77:AG82)</f>
        <v/>
      </c>
      <c r="AH83" s="40">
        <f>SUM(AH77:AH82)</f>
        <v/>
      </c>
      <c r="AI83" s="40">
        <f>SUM(AI77:AI82)</f>
        <v/>
      </c>
      <c r="AJ83" s="40">
        <f>SUM(AJ77:AJ82)</f>
        <v/>
      </c>
      <c r="AK83" s="40">
        <f>SUM(AK77:AK82)</f>
        <v/>
      </c>
      <c r="AL83" s="40">
        <f>SUM(AL77:AL82)</f>
        <v/>
      </c>
      <c r="AM83" s="39" t="n"/>
      <c r="AN83" s="40">
        <f>INDEX($O83:$AL83,1,AN$5*12)</f>
        <v/>
      </c>
      <c r="AO83" s="40">
        <f>INDEX($O83:$AL83,1,AO$5*12)</f>
        <v/>
      </c>
    </row>
    <row r="84">
      <c r="A84" s="5" t="inlineStr">
        <is>
          <t>Trade payables</t>
        </is>
      </c>
      <c r="B84" s="2" t="inlineStr">
        <is>
          <t>GBP k</t>
        </is>
      </c>
      <c r="N84" s="36">
        <f>N22+N39</f>
        <v/>
      </c>
      <c r="O84" s="36">
        <f>O22+O39</f>
        <v/>
      </c>
      <c r="P84" s="36">
        <f>P22+P39</f>
        <v/>
      </c>
      <c r="Q84" s="36">
        <f>Q22+Q39</f>
        <v/>
      </c>
      <c r="R84" s="36">
        <f>R22+R39</f>
        <v/>
      </c>
      <c r="S84" s="36">
        <f>S22+S39</f>
        <v/>
      </c>
      <c r="T84" s="36">
        <f>T22+T39</f>
        <v/>
      </c>
      <c r="U84" s="36">
        <f>U22+U39</f>
        <v/>
      </c>
      <c r="V84" s="36">
        <f>V22+V39</f>
        <v/>
      </c>
      <c r="W84" s="36">
        <f>W22+W39</f>
        <v/>
      </c>
      <c r="X84" s="36">
        <f>X22+X39</f>
        <v/>
      </c>
      <c r="Y84" s="36">
        <f>Y22+Y39</f>
        <v/>
      </c>
      <c r="Z84" s="36">
        <f>Z22+Z39</f>
        <v/>
      </c>
      <c r="AA84" s="36">
        <f>AA22+AA39</f>
        <v/>
      </c>
      <c r="AB84" s="36">
        <f>AB22+AB39</f>
        <v/>
      </c>
      <c r="AC84" s="36">
        <f>AC22+AC39</f>
        <v/>
      </c>
      <c r="AD84" s="36">
        <f>AD22+AD39</f>
        <v/>
      </c>
      <c r="AE84" s="36">
        <f>AE22+AE39</f>
        <v/>
      </c>
      <c r="AF84" s="36">
        <f>AF22+AF39</f>
        <v/>
      </c>
      <c r="AG84" s="36">
        <f>AG22+AG39</f>
        <v/>
      </c>
      <c r="AH84" s="36">
        <f>AH22+AH39</f>
        <v/>
      </c>
      <c r="AI84" s="36">
        <f>AI22+AI39</f>
        <v/>
      </c>
      <c r="AJ84" s="36">
        <f>AJ22+AJ39</f>
        <v/>
      </c>
      <c r="AK84" s="36">
        <f>AK22+AK39</f>
        <v/>
      </c>
      <c r="AL84" s="36">
        <f>AL22+AL39</f>
        <v/>
      </c>
      <c r="AN84" s="36">
        <f>INDEX($O84:$AL84,1,AN$5*12)</f>
        <v/>
      </c>
      <c r="AO84" s="36">
        <f>INDEX($O84:$AL84,1,AO$5*12)</f>
        <v/>
      </c>
    </row>
    <row r="85">
      <c r="A85" s="5" t="inlineStr">
        <is>
          <t>Memo: fair-value write-down of acquired deferred revenue still to unwind</t>
        </is>
      </c>
      <c r="B85" s="2" t="inlineStr">
        <is>
          <t>GBP k</t>
        </is>
      </c>
      <c r="N85" s="36">
        <f>inp_ma_include*MA_PPA!$C$24</f>
        <v/>
      </c>
      <c r="O85" s="36">
        <f>N85+O61</f>
        <v/>
      </c>
      <c r="P85" s="36">
        <f>O85+P61</f>
        <v/>
      </c>
      <c r="Q85" s="36">
        <f>P85+Q61</f>
        <v/>
      </c>
      <c r="R85" s="36">
        <f>Q85+R61</f>
        <v/>
      </c>
      <c r="S85" s="36">
        <f>R85+S61</f>
        <v/>
      </c>
      <c r="T85" s="36">
        <f>S85+T61</f>
        <v/>
      </c>
      <c r="U85" s="36">
        <f>T85+U61</f>
        <v/>
      </c>
      <c r="V85" s="36">
        <f>U85+V61</f>
        <v/>
      </c>
      <c r="W85" s="36">
        <f>V85+W61</f>
        <v/>
      </c>
      <c r="X85" s="36">
        <f>W85+X61</f>
        <v/>
      </c>
      <c r="Y85" s="36">
        <f>X85+Y61</f>
        <v/>
      </c>
      <c r="Z85" s="36">
        <f>Y85+Z61</f>
        <v/>
      </c>
      <c r="AA85" s="36">
        <f>Z85+AA61</f>
        <v/>
      </c>
      <c r="AB85" s="36">
        <f>AA85+AB61</f>
        <v/>
      </c>
      <c r="AC85" s="36">
        <f>AB85+AC61</f>
        <v/>
      </c>
      <c r="AD85" s="36">
        <f>AC85+AD61</f>
        <v/>
      </c>
      <c r="AE85" s="36">
        <f>AD85+AE61</f>
        <v/>
      </c>
      <c r="AF85" s="36">
        <f>AE85+AF61</f>
        <v/>
      </c>
      <c r="AG85" s="36">
        <f>AF85+AG61</f>
        <v/>
      </c>
      <c r="AH85" s="36">
        <f>AG85+AH61</f>
        <v/>
      </c>
      <c r="AI85" s="36">
        <f>AH85+AI61</f>
        <v/>
      </c>
      <c r="AJ85" s="36">
        <f>AI85+AJ61</f>
        <v/>
      </c>
      <c r="AK85" s="36">
        <f>AJ85+AK61</f>
        <v/>
      </c>
      <c r="AL85" s="36">
        <f>AK85+AL61</f>
        <v/>
      </c>
      <c r="AN85" s="36">
        <f>INDEX($O85:$AL85,1,AN$5*12)</f>
        <v/>
      </c>
      <c r="AO85" s="36">
        <f>INDEX($O85:$AL85,1,AO$5*12)</f>
        <v/>
      </c>
    </row>
    <row r="86">
      <c r="A86" s="5" t="inlineStr">
        <is>
          <t>Deferred revenue (net of write-down)</t>
        </is>
      </c>
      <c r="B86" s="2" t="inlineStr">
        <is>
          <t>GBP k</t>
        </is>
      </c>
      <c r="N86" s="36">
        <f>N23+N40-N85</f>
        <v/>
      </c>
      <c r="O86" s="36">
        <f>O23+O40-O85</f>
        <v/>
      </c>
      <c r="P86" s="36">
        <f>P23+P40-P85</f>
        <v/>
      </c>
      <c r="Q86" s="36">
        <f>Q23+Q40-Q85</f>
        <v/>
      </c>
      <c r="R86" s="36">
        <f>R23+R40-R85</f>
        <v/>
      </c>
      <c r="S86" s="36">
        <f>S23+S40-S85</f>
        <v/>
      </c>
      <c r="T86" s="36">
        <f>T23+T40-T85</f>
        <v/>
      </c>
      <c r="U86" s="36">
        <f>U23+U40-U85</f>
        <v/>
      </c>
      <c r="V86" s="36">
        <f>V23+V40-V85</f>
        <v/>
      </c>
      <c r="W86" s="36">
        <f>W23+W40-W85</f>
        <v/>
      </c>
      <c r="X86" s="36">
        <f>X23+X40-X85</f>
        <v/>
      </c>
      <c r="Y86" s="36">
        <f>Y23+Y40-Y85</f>
        <v/>
      </c>
      <c r="Z86" s="36">
        <f>Z23+Z40-Z85</f>
        <v/>
      </c>
      <c r="AA86" s="36">
        <f>AA23+AA40-AA85</f>
        <v/>
      </c>
      <c r="AB86" s="36">
        <f>AB23+AB40-AB85</f>
        <v/>
      </c>
      <c r="AC86" s="36">
        <f>AC23+AC40-AC85</f>
        <v/>
      </c>
      <c r="AD86" s="36">
        <f>AD23+AD40-AD85</f>
        <v/>
      </c>
      <c r="AE86" s="36">
        <f>AE23+AE40-AE85</f>
        <v/>
      </c>
      <c r="AF86" s="36">
        <f>AF23+AF40-AF85</f>
        <v/>
      </c>
      <c r="AG86" s="36">
        <f>AG23+AG40-AG85</f>
        <v/>
      </c>
      <c r="AH86" s="36">
        <f>AH23+AH40-AH85</f>
        <v/>
      </c>
      <c r="AI86" s="36">
        <f>AI23+AI40-AI85</f>
        <v/>
      </c>
      <c r="AJ86" s="36">
        <f>AJ23+AJ40-AJ85</f>
        <v/>
      </c>
      <c r="AK86" s="36">
        <f>AK23+AK40-AK85</f>
        <v/>
      </c>
      <c r="AL86" s="36">
        <f>AL23+AL40-AL85</f>
        <v/>
      </c>
      <c r="AN86" s="36">
        <f>INDEX($O86:$AL86,1,AN$5*12)</f>
        <v/>
      </c>
      <c r="AO86" s="36">
        <f>INDEX($O86:$AL86,1,AO$5*12)</f>
        <v/>
      </c>
    </row>
    <row r="87">
      <c r="A87" s="5" t="inlineStr">
        <is>
          <t>Acquisition loan</t>
        </is>
      </c>
      <c r="B87" s="2" t="inlineStr">
        <is>
          <t>GBP k</t>
        </is>
      </c>
      <c r="N87" s="36">
        <f>N64</f>
        <v/>
      </c>
      <c r="O87" s="36">
        <f>O64</f>
        <v/>
      </c>
      <c r="P87" s="36">
        <f>P64</f>
        <v/>
      </c>
      <c r="Q87" s="36">
        <f>Q64</f>
        <v/>
      </c>
      <c r="R87" s="36">
        <f>R64</f>
        <v/>
      </c>
      <c r="S87" s="36">
        <f>S64</f>
        <v/>
      </c>
      <c r="T87" s="36">
        <f>T64</f>
        <v/>
      </c>
      <c r="U87" s="36">
        <f>U64</f>
        <v/>
      </c>
      <c r="V87" s="36">
        <f>V64</f>
        <v/>
      </c>
      <c r="W87" s="36">
        <f>W64</f>
        <v/>
      </c>
      <c r="X87" s="36">
        <f>X64</f>
        <v/>
      </c>
      <c r="Y87" s="36">
        <f>Y64</f>
        <v/>
      </c>
      <c r="Z87" s="36">
        <f>Z64</f>
        <v/>
      </c>
      <c r="AA87" s="36">
        <f>AA64</f>
        <v/>
      </c>
      <c r="AB87" s="36">
        <f>AB64</f>
        <v/>
      </c>
      <c r="AC87" s="36">
        <f>AC64</f>
        <v/>
      </c>
      <c r="AD87" s="36">
        <f>AD64</f>
        <v/>
      </c>
      <c r="AE87" s="36">
        <f>AE64</f>
        <v/>
      </c>
      <c r="AF87" s="36">
        <f>AF64</f>
        <v/>
      </c>
      <c r="AG87" s="36">
        <f>AG64</f>
        <v/>
      </c>
      <c r="AH87" s="36">
        <f>AH64</f>
        <v/>
      </c>
      <c r="AI87" s="36">
        <f>AI64</f>
        <v/>
      </c>
      <c r="AJ87" s="36">
        <f>AJ64</f>
        <v/>
      </c>
      <c r="AK87" s="36">
        <f>AK64</f>
        <v/>
      </c>
      <c r="AL87" s="36">
        <f>AL64</f>
        <v/>
      </c>
      <c r="AN87" s="36">
        <f>INDEX($O87:$AL87,1,AN$5*12)</f>
        <v/>
      </c>
      <c r="AO87" s="36">
        <f>INDEX($O87:$AL87,1,AO$5*12)</f>
        <v/>
      </c>
    </row>
    <row r="88">
      <c r="A88" s="5" t="inlineStr">
        <is>
          <t>Deferred tax liability</t>
        </is>
      </c>
      <c r="B88" s="2" t="inlineStr">
        <is>
          <t>GBP k</t>
        </is>
      </c>
      <c r="N88" s="36">
        <f>-inp_ma_include*MA_PPA!$C$27</f>
        <v/>
      </c>
      <c r="O88" s="36">
        <f>N88-O63</f>
        <v/>
      </c>
      <c r="P88" s="36">
        <f>O88-P63</f>
        <v/>
      </c>
      <c r="Q88" s="36">
        <f>P88-Q63</f>
        <v/>
      </c>
      <c r="R88" s="36">
        <f>Q88-R63</f>
        <v/>
      </c>
      <c r="S88" s="36">
        <f>R88-S63</f>
        <v/>
      </c>
      <c r="T88" s="36">
        <f>S88-T63</f>
        <v/>
      </c>
      <c r="U88" s="36">
        <f>T88-U63</f>
        <v/>
      </c>
      <c r="V88" s="36">
        <f>U88-V63</f>
        <v/>
      </c>
      <c r="W88" s="36">
        <f>V88-W63</f>
        <v/>
      </c>
      <c r="X88" s="36">
        <f>W88-X63</f>
        <v/>
      </c>
      <c r="Y88" s="36">
        <f>X88-Y63</f>
        <v/>
      </c>
      <c r="Z88" s="36">
        <f>Y88-Z63</f>
        <v/>
      </c>
      <c r="AA88" s="36">
        <f>Z88-AA63</f>
        <v/>
      </c>
      <c r="AB88" s="36">
        <f>AA88-AB63</f>
        <v/>
      </c>
      <c r="AC88" s="36">
        <f>AB88-AC63</f>
        <v/>
      </c>
      <c r="AD88" s="36">
        <f>AC88-AD63</f>
        <v/>
      </c>
      <c r="AE88" s="36">
        <f>AD88-AE63</f>
        <v/>
      </c>
      <c r="AF88" s="36">
        <f>AE88-AF63</f>
        <v/>
      </c>
      <c r="AG88" s="36">
        <f>AF88-AG63</f>
        <v/>
      </c>
      <c r="AH88" s="36">
        <f>AG88-AH63</f>
        <v/>
      </c>
      <c r="AI88" s="36">
        <f>AH88-AI63</f>
        <v/>
      </c>
      <c r="AJ88" s="36">
        <f>AI88-AJ63</f>
        <v/>
      </c>
      <c r="AK88" s="36">
        <f>AJ88-AK63</f>
        <v/>
      </c>
      <c r="AL88" s="36">
        <f>AK88-AL63</f>
        <v/>
      </c>
      <c r="AN88" s="36">
        <f>INDEX($O88:$AL88,1,AN$5*12)</f>
        <v/>
      </c>
      <c r="AO88" s="36">
        <f>INDEX($O88:$AL88,1,AO$5*12)</f>
        <v/>
      </c>
    </row>
    <row r="89">
      <c r="A89" s="37" t="inlineStr">
        <is>
          <t>Total liabilities</t>
        </is>
      </c>
      <c r="B89" s="38" t="inlineStr">
        <is>
          <t>GBP k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40">
        <f>N84+N86+N87+N88</f>
        <v/>
      </c>
      <c r="O89" s="40">
        <f>O84+O86+O87+O88</f>
        <v/>
      </c>
      <c r="P89" s="40">
        <f>P84+P86+P87+P88</f>
        <v/>
      </c>
      <c r="Q89" s="40">
        <f>Q84+Q86+Q87+Q88</f>
        <v/>
      </c>
      <c r="R89" s="40">
        <f>R84+R86+R87+R88</f>
        <v/>
      </c>
      <c r="S89" s="40">
        <f>S84+S86+S87+S88</f>
        <v/>
      </c>
      <c r="T89" s="40">
        <f>T84+T86+T87+T88</f>
        <v/>
      </c>
      <c r="U89" s="40">
        <f>U84+U86+U87+U88</f>
        <v/>
      </c>
      <c r="V89" s="40">
        <f>V84+V86+V87+V88</f>
        <v/>
      </c>
      <c r="W89" s="40">
        <f>W84+W86+W87+W88</f>
        <v/>
      </c>
      <c r="X89" s="40">
        <f>X84+X86+X87+X88</f>
        <v/>
      </c>
      <c r="Y89" s="40">
        <f>Y84+Y86+Y87+Y88</f>
        <v/>
      </c>
      <c r="Z89" s="40">
        <f>Z84+Z86+Z87+Z88</f>
        <v/>
      </c>
      <c r="AA89" s="40">
        <f>AA84+AA86+AA87+AA88</f>
        <v/>
      </c>
      <c r="AB89" s="40">
        <f>AB84+AB86+AB87+AB88</f>
        <v/>
      </c>
      <c r="AC89" s="40">
        <f>AC84+AC86+AC87+AC88</f>
        <v/>
      </c>
      <c r="AD89" s="40">
        <f>AD84+AD86+AD87+AD88</f>
        <v/>
      </c>
      <c r="AE89" s="40">
        <f>AE84+AE86+AE87+AE88</f>
        <v/>
      </c>
      <c r="AF89" s="40">
        <f>AF84+AF86+AF87+AF88</f>
        <v/>
      </c>
      <c r="AG89" s="40">
        <f>AG84+AG86+AG87+AG88</f>
        <v/>
      </c>
      <c r="AH89" s="40">
        <f>AH84+AH86+AH87+AH88</f>
        <v/>
      </c>
      <c r="AI89" s="40">
        <f>AI84+AI86+AI87+AI88</f>
        <v/>
      </c>
      <c r="AJ89" s="40">
        <f>AJ84+AJ86+AJ87+AJ88</f>
        <v/>
      </c>
      <c r="AK89" s="40">
        <f>AK84+AK86+AK87+AK88</f>
        <v/>
      </c>
      <c r="AL89" s="40">
        <f>AL84+AL86+AL87+AL88</f>
        <v/>
      </c>
      <c r="AM89" s="39" t="n"/>
      <c r="AN89" s="40">
        <f>INDEX($O89:$AL89,1,AN$5*12)</f>
        <v/>
      </c>
      <c r="AO89" s="40">
        <f>INDEX($O89:$AL89,1,AO$5*12)</f>
        <v/>
      </c>
    </row>
    <row r="90">
      <c r="A90" s="3" t="inlineStr">
        <is>
          <t>Equity (Northgate opening equity + pro-forma net income)</t>
        </is>
      </c>
      <c r="B90" s="2" t="inlineStr">
        <is>
          <t>GBP k</t>
        </is>
      </c>
      <c r="N90" s="42">
        <f>N24</f>
        <v/>
      </c>
      <c r="O90" s="42">
        <f>N90+O71</f>
        <v/>
      </c>
      <c r="P90" s="42">
        <f>O90+P71</f>
        <v/>
      </c>
      <c r="Q90" s="42">
        <f>P90+Q71</f>
        <v/>
      </c>
      <c r="R90" s="42">
        <f>Q90+R71</f>
        <v/>
      </c>
      <c r="S90" s="42">
        <f>R90+S71</f>
        <v/>
      </c>
      <c r="T90" s="42">
        <f>S90+T71</f>
        <v/>
      </c>
      <c r="U90" s="42">
        <f>T90+U71</f>
        <v/>
      </c>
      <c r="V90" s="42">
        <f>U90+V71</f>
        <v/>
      </c>
      <c r="W90" s="42">
        <f>V90+W71</f>
        <v/>
      </c>
      <c r="X90" s="42">
        <f>W90+X71</f>
        <v/>
      </c>
      <c r="Y90" s="42">
        <f>X90+Y71</f>
        <v/>
      </c>
      <c r="Z90" s="42">
        <f>Y90+Z71</f>
        <v/>
      </c>
      <c r="AA90" s="42">
        <f>Z90+AA71</f>
        <v/>
      </c>
      <c r="AB90" s="42">
        <f>AA90+AB71</f>
        <v/>
      </c>
      <c r="AC90" s="42">
        <f>AB90+AC71</f>
        <v/>
      </c>
      <c r="AD90" s="42">
        <f>AC90+AD71</f>
        <v/>
      </c>
      <c r="AE90" s="42">
        <f>AD90+AE71</f>
        <v/>
      </c>
      <c r="AF90" s="42">
        <f>AE90+AF71</f>
        <v/>
      </c>
      <c r="AG90" s="42">
        <f>AF90+AG71</f>
        <v/>
      </c>
      <c r="AH90" s="42">
        <f>AG90+AH71</f>
        <v/>
      </c>
      <c r="AI90" s="42">
        <f>AH90+AI71</f>
        <v/>
      </c>
      <c r="AJ90" s="42">
        <f>AI90+AJ71</f>
        <v/>
      </c>
      <c r="AK90" s="42">
        <f>AJ90+AK71</f>
        <v/>
      </c>
      <c r="AL90" s="42">
        <f>AK90+AL71</f>
        <v/>
      </c>
      <c r="AN90" s="42">
        <f>INDEX($O90:$AL90,1,AN$5*12)</f>
        <v/>
      </c>
      <c r="AO90" s="42">
        <f>INDEX($O90:$AL90,1,AO$5*12)</f>
        <v/>
      </c>
    </row>
    <row r="91">
      <c r="A91" s="3" t="inlineStr">
        <is>
          <t>Balance check</t>
        </is>
      </c>
      <c r="B91" s="2" t="inlineStr">
        <is>
          <t>GBP k</t>
        </is>
      </c>
      <c r="N91" s="45">
        <f>N83-N89-N90</f>
        <v/>
      </c>
      <c r="O91" s="45">
        <f>O83-O89-O90</f>
        <v/>
      </c>
      <c r="P91" s="45">
        <f>P83-P89-P90</f>
        <v/>
      </c>
      <c r="Q91" s="45">
        <f>Q83-Q89-Q90</f>
        <v/>
      </c>
      <c r="R91" s="45">
        <f>R83-R89-R90</f>
        <v/>
      </c>
      <c r="S91" s="45">
        <f>S83-S89-S90</f>
        <v/>
      </c>
      <c r="T91" s="45">
        <f>T83-T89-T90</f>
        <v/>
      </c>
      <c r="U91" s="45">
        <f>U83-U89-U90</f>
        <v/>
      </c>
      <c r="V91" s="45">
        <f>V83-V89-V90</f>
        <v/>
      </c>
      <c r="W91" s="45">
        <f>W83-W89-W90</f>
        <v/>
      </c>
      <c r="X91" s="45">
        <f>X83-X89-X90</f>
        <v/>
      </c>
      <c r="Y91" s="45">
        <f>Y83-Y89-Y90</f>
        <v/>
      </c>
      <c r="Z91" s="45">
        <f>Z83-Z89-Z90</f>
        <v/>
      </c>
      <c r="AA91" s="45">
        <f>AA83-AA89-AA90</f>
        <v/>
      </c>
      <c r="AB91" s="45">
        <f>AB83-AB89-AB90</f>
        <v/>
      </c>
      <c r="AC91" s="45">
        <f>AC83-AC89-AC90</f>
        <v/>
      </c>
      <c r="AD91" s="45">
        <f>AD83-AD89-AD90</f>
        <v/>
      </c>
      <c r="AE91" s="45">
        <f>AE83-AE89-AE90</f>
        <v/>
      </c>
      <c r="AF91" s="45">
        <f>AF83-AF89-AF90</f>
        <v/>
      </c>
      <c r="AG91" s="45">
        <f>AG83-AG89-AG90</f>
        <v/>
      </c>
      <c r="AH91" s="45">
        <f>AH83-AH89-AH90</f>
        <v/>
      </c>
      <c r="AI91" s="45">
        <f>AI83-AI89-AI90</f>
        <v/>
      </c>
      <c r="AJ91" s="45">
        <f>AJ83-AJ89-AJ90</f>
        <v/>
      </c>
      <c r="AK91" s="45">
        <f>AK83-AK89-AK90</f>
        <v/>
      </c>
      <c r="AL91" s="45">
        <f>AL83-AL89-AL90</f>
        <v/>
      </c>
      <c r="AN91" s="45">
        <f>INDEX($O91:$AL91,1,AN$5*12)</f>
        <v/>
      </c>
      <c r="AO91" s="45">
        <f>INDEX($O91:$AL91,1,AO$5*12)</f>
        <v/>
      </c>
    </row>
    <row r="93">
      <c r="A93" s="13" t="inlineStr">
        <is>
          <t>Pro-forma SaaS metrics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</row>
    <row r="94">
      <c r="A94" s="3" t="inlineStr">
        <is>
          <t>Pro-forma closing ARR</t>
        </is>
      </c>
      <c r="B94" s="2" t="inlineStr">
        <is>
          <t>GBP k</t>
        </is>
      </c>
      <c r="N94" s="42">
        <f>N13+N31+N56</f>
        <v/>
      </c>
      <c r="O94" s="42">
        <f>O13+O31+O56</f>
        <v/>
      </c>
      <c r="P94" s="42">
        <f>P13+P31+P56</f>
        <v/>
      </c>
      <c r="Q94" s="42">
        <f>Q13+Q31+Q56</f>
        <v/>
      </c>
      <c r="R94" s="42">
        <f>R13+R31+R56</f>
        <v/>
      </c>
      <c r="S94" s="42">
        <f>S13+S31+S56</f>
        <v/>
      </c>
      <c r="T94" s="42">
        <f>T13+T31+T56</f>
        <v/>
      </c>
      <c r="U94" s="42">
        <f>U13+U31+U56</f>
        <v/>
      </c>
      <c r="V94" s="42">
        <f>V13+V31+V56</f>
        <v/>
      </c>
      <c r="W94" s="42">
        <f>W13+W31+W56</f>
        <v/>
      </c>
      <c r="X94" s="42">
        <f>X13+X31+X56</f>
        <v/>
      </c>
      <c r="Y94" s="42">
        <f>Y13+Y31+Y56</f>
        <v/>
      </c>
      <c r="Z94" s="42">
        <f>Z13+Z31+Z56</f>
        <v/>
      </c>
      <c r="AA94" s="42">
        <f>AA13+AA31+AA56</f>
        <v/>
      </c>
      <c r="AB94" s="42">
        <f>AB13+AB31+AB56</f>
        <v/>
      </c>
      <c r="AC94" s="42">
        <f>AC13+AC31+AC56</f>
        <v/>
      </c>
      <c r="AD94" s="42">
        <f>AD13+AD31+AD56</f>
        <v/>
      </c>
      <c r="AE94" s="42">
        <f>AE13+AE31+AE56</f>
        <v/>
      </c>
      <c r="AF94" s="42">
        <f>AF13+AF31+AF56</f>
        <v/>
      </c>
      <c r="AG94" s="42">
        <f>AG13+AG31+AG56</f>
        <v/>
      </c>
      <c r="AH94" s="42">
        <f>AH13+AH31+AH56</f>
        <v/>
      </c>
      <c r="AI94" s="42">
        <f>AI13+AI31+AI56</f>
        <v/>
      </c>
      <c r="AJ94" s="42">
        <f>AJ13+AJ31+AJ56</f>
        <v/>
      </c>
      <c r="AK94" s="42">
        <f>AK13+AK31+AK56</f>
        <v/>
      </c>
      <c r="AL94" s="42">
        <f>AL13+AL31+AL56</f>
        <v/>
      </c>
      <c r="AN94" s="42">
        <f>INDEX($O94:$AL94,1,AN$5*12)</f>
        <v/>
      </c>
      <c r="AO94" s="42">
        <f>INDEX($O94:$AL94,1,AO$5*12)</f>
        <v/>
      </c>
    </row>
    <row r="95">
      <c r="A95" s="5" t="inlineStr">
        <is>
          <t>Net new ARR</t>
        </is>
      </c>
      <c r="B95" s="2" t="inlineStr">
        <is>
          <t>GBP k</t>
        </is>
      </c>
      <c r="O95" s="36">
        <f>O94-N94</f>
        <v/>
      </c>
      <c r="P95" s="36">
        <f>P94-O94</f>
        <v/>
      </c>
      <c r="Q95" s="36">
        <f>Q94-P94</f>
        <v/>
      </c>
      <c r="R95" s="36">
        <f>R94-Q94</f>
        <v/>
      </c>
      <c r="S95" s="36">
        <f>S94-R94</f>
        <v/>
      </c>
      <c r="T95" s="36">
        <f>T94-S94</f>
        <v/>
      </c>
      <c r="U95" s="36">
        <f>U94-T94</f>
        <v/>
      </c>
      <c r="V95" s="36">
        <f>V94-U94</f>
        <v/>
      </c>
      <c r="W95" s="36">
        <f>W94-V94</f>
        <v/>
      </c>
      <c r="X95" s="36">
        <f>X94-W94</f>
        <v/>
      </c>
      <c r="Y95" s="36">
        <f>Y94-X94</f>
        <v/>
      </c>
      <c r="Z95" s="36">
        <f>Z94-Y94</f>
        <v/>
      </c>
      <c r="AA95" s="36">
        <f>AA94-Z94</f>
        <v/>
      </c>
      <c r="AB95" s="36">
        <f>AB94-AA94</f>
        <v/>
      </c>
      <c r="AC95" s="36">
        <f>AC94-AB94</f>
        <v/>
      </c>
      <c r="AD95" s="36">
        <f>AD94-AC94</f>
        <v/>
      </c>
      <c r="AE95" s="36">
        <f>AE94-AD94</f>
        <v/>
      </c>
      <c r="AF95" s="36">
        <f>AF94-AE94</f>
        <v/>
      </c>
      <c r="AG95" s="36">
        <f>AG94-AF94</f>
        <v/>
      </c>
      <c r="AH95" s="36">
        <f>AH94-AG94</f>
        <v/>
      </c>
      <c r="AI95" s="36">
        <f>AI94-AH94</f>
        <v/>
      </c>
      <c r="AJ95" s="36">
        <f>AJ94-AI94</f>
        <v/>
      </c>
      <c r="AK95" s="36">
        <f>AK94-AJ94</f>
        <v/>
      </c>
      <c r="AL95" s="36">
        <f>AL94-AK94</f>
        <v/>
      </c>
      <c r="AN95" s="36">
        <f>SUMIF($O$5:$AL$5,AN$5,$O95:$AL95)</f>
        <v/>
      </c>
      <c r="AO95" s="36">
        <f>SUMIF($O$5:$AL$5,AO$5,$O95:$AL95)</f>
        <v/>
      </c>
    </row>
    <row r="96">
      <c r="A96" s="5" t="inlineStr">
        <is>
          <t>ARR growth, year on year</t>
        </is>
      </c>
      <c r="B96" s="2" t="inlineStr">
        <is>
          <t>%</t>
        </is>
      </c>
      <c r="O96" s="35">
        <f>IF(O$3&lt;12,"",O94/INDEX($N94:$AL94,1,O$3-12+1)-1)</f>
        <v/>
      </c>
      <c r="P96" s="35">
        <f>IF(P$3&lt;12,"",P94/INDEX($N94:$AL94,1,P$3-12+1)-1)</f>
        <v/>
      </c>
      <c r="Q96" s="35">
        <f>IF(Q$3&lt;12,"",Q94/INDEX($N94:$AL94,1,Q$3-12+1)-1)</f>
        <v/>
      </c>
      <c r="R96" s="35">
        <f>IF(R$3&lt;12,"",R94/INDEX($N94:$AL94,1,R$3-12+1)-1)</f>
        <v/>
      </c>
      <c r="S96" s="35">
        <f>IF(S$3&lt;12,"",S94/INDEX($N94:$AL94,1,S$3-12+1)-1)</f>
        <v/>
      </c>
      <c r="T96" s="35">
        <f>IF(T$3&lt;12,"",T94/INDEX($N94:$AL94,1,T$3-12+1)-1)</f>
        <v/>
      </c>
      <c r="U96" s="35">
        <f>IF(U$3&lt;12,"",U94/INDEX($N94:$AL94,1,U$3-12+1)-1)</f>
        <v/>
      </c>
      <c r="V96" s="35">
        <f>IF(V$3&lt;12,"",V94/INDEX($N94:$AL94,1,V$3-12+1)-1)</f>
        <v/>
      </c>
      <c r="W96" s="35">
        <f>IF(W$3&lt;12,"",W94/INDEX($N94:$AL94,1,W$3-12+1)-1)</f>
        <v/>
      </c>
      <c r="X96" s="35">
        <f>IF(X$3&lt;12,"",X94/INDEX($N94:$AL94,1,X$3-12+1)-1)</f>
        <v/>
      </c>
      <c r="Y96" s="35">
        <f>IF(Y$3&lt;12,"",Y94/INDEX($N94:$AL94,1,Y$3-12+1)-1)</f>
        <v/>
      </c>
      <c r="Z96" s="35">
        <f>IF(Z$3&lt;12,"",Z94/INDEX($N94:$AL94,1,Z$3-12+1)-1)</f>
        <v/>
      </c>
      <c r="AA96" s="35">
        <f>IF(AA$3&lt;12,"",AA94/INDEX($N94:$AL94,1,AA$3-12+1)-1)</f>
        <v/>
      </c>
      <c r="AB96" s="35">
        <f>IF(AB$3&lt;12,"",AB94/INDEX($N94:$AL94,1,AB$3-12+1)-1)</f>
        <v/>
      </c>
      <c r="AC96" s="35">
        <f>IF(AC$3&lt;12,"",AC94/INDEX($N94:$AL94,1,AC$3-12+1)-1)</f>
        <v/>
      </c>
      <c r="AD96" s="35">
        <f>IF(AD$3&lt;12,"",AD94/INDEX($N94:$AL94,1,AD$3-12+1)-1)</f>
        <v/>
      </c>
      <c r="AE96" s="35">
        <f>IF(AE$3&lt;12,"",AE94/INDEX($N94:$AL94,1,AE$3-12+1)-1)</f>
        <v/>
      </c>
      <c r="AF96" s="35">
        <f>IF(AF$3&lt;12,"",AF94/INDEX($N94:$AL94,1,AF$3-12+1)-1)</f>
        <v/>
      </c>
      <c r="AG96" s="35">
        <f>IF(AG$3&lt;12,"",AG94/INDEX($N94:$AL94,1,AG$3-12+1)-1)</f>
        <v/>
      </c>
      <c r="AH96" s="35">
        <f>IF(AH$3&lt;12,"",AH94/INDEX($N94:$AL94,1,AH$3-12+1)-1)</f>
        <v/>
      </c>
      <c r="AI96" s="35">
        <f>IF(AI$3&lt;12,"",AI94/INDEX($N94:$AL94,1,AI$3-12+1)-1)</f>
        <v/>
      </c>
      <c r="AJ96" s="35">
        <f>IF(AJ$3&lt;12,"",AJ94/INDEX($N94:$AL94,1,AJ$3-12+1)-1)</f>
        <v/>
      </c>
      <c r="AK96" s="35">
        <f>IF(AK$3&lt;12,"",AK94/INDEX($N94:$AL94,1,AK$3-12+1)-1)</f>
        <v/>
      </c>
      <c r="AL96" s="35">
        <f>IF(AL$3&lt;12,"",AL94/INDEX($N94:$AL94,1,AL$3-12+1)-1)</f>
        <v/>
      </c>
      <c r="AN96" s="35">
        <f>INDEX($O96:$AL96,1,AN$5*12)</f>
        <v/>
      </c>
      <c r="AO96" s="35">
        <f>INDEX($O96:$AL96,1,AO$5*12)</f>
        <v/>
      </c>
    </row>
    <row r="97">
      <c r="A97" s="5" t="inlineStr">
        <is>
          <t>Net revenue retention (annualised)</t>
        </is>
      </c>
      <c r="B97" s="2" t="inlineStr">
        <is>
          <t>%</t>
        </is>
      </c>
      <c r="O97" s="35">
        <f>(1+(O11+O12+O29+O30)/(O9+O27))^12</f>
        <v/>
      </c>
      <c r="P97" s="35">
        <f>(1+(P11+P12+P29+P30)/(P9+P27))^12</f>
        <v/>
      </c>
      <c r="Q97" s="35">
        <f>(1+(Q11+Q12+Q29+Q30)/(Q9+Q27))^12</f>
        <v/>
      </c>
      <c r="R97" s="35">
        <f>(1+(R11+R12+R29+R30)/(R9+R27))^12</f>
        <v/>
      </c>
      <c r="S97" s="35">
        <f>(1+(S11+S12+S29+S30)/(S9+S27))^12</f>
        <v/>
      </c>
      <c r="T97" s="35">
        <f>(1+(T11+T12+T29+T30)/(T9+T27))^12</f>
        <v/>
      </c>
      <c r="U97" s="35">
        <f>(1+(U11+U12+U29+U30)/(U9+U27))^12</f>
        <v/>
      </c>
      <c r="V97" s="35">
        <f>(1+(V11+V12+V29+V30)/(V9+V27))^12</f>
        <v/>
      </c>
      <c r="W97" s="35">
        <f>(1+(W11+W12+W29+W30)/(W9+W27))^12</f>
        <v/>
      </c>
      <c r="X97" s="35">
        <f>(1+(X11+X12+X29+X30)/(X9+X27))^12</f>
        <v/>
      </c>
      <c r="Y97" s="35">
        <f>(1+(Y11+Y12+Y29+Y30)/(Y9+Y27))^12</f>
        <v/>
      </c>
      <c r="Z97" s="35">
        <f>(1+(Z11+Z12+Z29+Z30)/(Z9+Z27))^12</f>
        <v/>
      </c>
      <c r="AA97" s="35">
        <f>(1+(AA11+AA12+AA29+AA30)/(AA9+AA27))^12</f>
        <v/>
      </c>
      <c r="AB97" s="35">
        <f>(1+(AB11+AB12+AB29+AB30)/(AB9+AB27))^12</f>
        <v/>
      </c>
      <c r="AC97" s="35">
        <f>(1+(AC11+AC12+AC29+AC30)/(AC9+AC27))^12</f>
        <v/>
      </c>
      <c r="AD97" s="35">
        <f>(1+(AD11+AD12+AD29+AD30)/(AD9+AD27))^12</f>
        <v/>
      </c>
      <c r="AE97" s="35">
        <f>(1+(AE11+AE12+AE29+AE30)/(AE9+AE27))^12</f>
        <v/>
      </c>
      <c r="AF97" s="35">
        <f>(1+(AF11+AF12+AF29+AF30)/(AF9+AF27))^12</f>
        <v/>
      </c>
      <c r="AG97" s="35">
        <f>(1+(AG11+AG12+AG29+AG30)/(AG9+AG27))^12</f>
        <v/>
      </c>
      <c r="AH97" s="35">
        <f>(1+(AH11+AH12+AH29+AH30)/(AH9+AH27))^12</f>
        <v/>
      </c>
      <c r="AI97" s="35">
        <f>(1+(AI11+AI12+AI29+AI30)/(AI9+AI27))^12</f>
        <v/>
      </c>
      <c r="AJ97" s="35">
        <f>(1+(AJ11+AJ12+AJ29+AJ30)/(AJ9+AJ27))^12</f>
        <v/>
      </c>
      <c r="AK97" s="35">
        <f>(1+(AK11+AK12+AK29+AK30)/(AK9+AK27))^12</f>
        <v/>
      </c>
      <c r="AL97" s="35">
        <f>(1+(AL11+AL12+AL29+AL30)/(AL9+AL27))^12</f>
        <v/>
      </c>
      <c r="AN97" s="35">
        <f>INDEX($O97:$AL97,1,AN$5*12)</f>
        <v/>
      </c>
      <c r="AO97" s="35">
        <f>INDEX($O97:$AL97,1,AO$5*12)</f>
        <v/>
      </c>
    </row>
    <row r="98">
      <c r="A98" s="5" t="inlineStr">
        <is>
          <t>EBITDA margin</t>
        </is>
      </c>
      <c r="B98" s="2" t="inlineStr">
        <is>
          <t>%</t>
        </is>
      </c>
      <c r="O98" s="35">
        <f>O70/O69</f>
        <v/>
      </c>
      <c r="P98" s="35">
        <f>P70/P69</f>
        <v/>
      </c>
      <c r="Q98" s="35">
        <f>Q70/Q69</f>
        <v/>
      </c>
      <c r="R98" s="35">
        <f>R70/R69</f>
        <v/>
      </c>
      <c r="S98" s="35">
        <f>S70/S69</f>
        <v/>
      </c>
      <c r="T98" s="35">
        <f>T70/T69</f>
        <v/>
      </c>
      <c r="U98" s="35">
        <f>U70/U69</f>
        <v/>
      </c>
      <c r="V98" s="35">
        <f>V70/V69</f>
        <v/>
      </c>
      <c r="W98" s="35">
        <f>W70/W69</f>
        <v/>
      </c>
      <c r="X98" s="35">
        <f>X70/X69</f>
        <v/>
      </c>
      <c r="Y98" s="35">
        <f>Y70/Y69</f>
        <v/>
      </c>
      <c r="Z98" s="35">
        <f>Z70/Z69</f>
        <v/>
      </c>
      <c r="AA98" s="35">
        <f>AA70/AA69</f>
        <v/>
      </c>
      <c r="AB98" s="35">
        <f>AB70/AB69</f>
        <v/>
      </c>
      <c r="AC98" s="35">
        <f>AC70/AC69</f>
        <v/>
      </c>
      <c r="AD98" s="35">
        <f>AD70/AD69</f>
        <v/>
      </c>
      <c r="AE98" s="35">
        <f>AE70/AE69</f>
        <v/>
      </c>
      <c r="AF98" s="35">
        <f>AF70/AF69</f>
        <v/>
      </c>
      <c r="AG98" s="35">
        <f>AG70/AG69</f>
        <v/>
      </c>
      <c r="AH98" s="35">
        <f>AH70/AH69</f>
        <v/>
      </c>
      <c r="AI98" s="35">
        <f>AI70/AI69</f>
        <v/>
      </c>
      <c r="AJ98" s="35">
        <f>AJ70/AJ69</f>
        <v/>
      </c>
      <c r="AK98" s="35">
        <f>AK70/AK69</f>
        <v/>
      </c>
      <c r="AL98" s="35">
        <f>AL70/AL69</f>
        <v/>
      </c>
      <c r="AN98" s="35">
        <f>AN70/AN69</f>
        <v/>
      </c>
      <c r="AO98" s="35">
        <f>AO70/AO69</f>
        <v/>
      </c>
    </row>
    <row r="99">
      <c r="A99" s="5" t="inlineStr">
        <is>
          <t>Rule of 40</t>
        </is>
      </c>
      <c r="B99" s="2" t="inlineStr">
        <is>
          <t>%</t>
        </is>
      </c>
      <c r="O99" s="35">
        <f>IF(O$3&lt;12,"",O96+O98)</f>
        <v/>
      </c>
      <c r="P99" s="35">
        <f>IF(P$3&lt;12,"",P96+P98)</f>
        <v/>
      </c>
      <c r="Q99" s="35">
        <f>IF(Q$3&lt;12,"",Q96+Q98)</f>
        <v/>
      </c>
      <c r="R99" s="35">
        <f>IF(R$3&lt;12,"",R96+R98)</f>
        <v/>
      </c>
      <c r="S99" s="35">
        <f>IF(S$3&lt;12,"",S96+S98)</f>
        <v/>
      </c>
      <c r="T99" s="35">
        <f>IF(T$3&lt;12,"",T96+T98)</f>
        <v/>
      </c>
      <c r="U99" s="35">
        <f>IF(U$3&lt;12,"",U96+U98)</f>
        <v/>
      </c>
      <c r="V99" s="35">
        <f>IF(V$3&lt;12,"",V96+V98)</f>
        <v/>
      </c>
      <c r="W99" s="35">
        <f>IF(W$3&lt;12,"",W96+W98)</f>
        <v/>
      </c>
      <c r="X99" s="35">
        <f>IF(X$3&lt;12,"",X96+X98)</f>
        <v/>
      </c>
      <c r="Y99" s="35">
        <f>IF(Y$3&lt;12,"",Y96+Y98)</f>
        <v/>
      </c>
      <c r="Z99" s="35">
        <f>IF(Z$3&lt;12,"",Z96+Z98)</f>
        <v/>
      </c>
      <c r="AA99" s="35">
        <f>IF(AA$3&lt;12,"",AA96+AA98)</f>
        <v/>
      </c>
      <c r="AB99" s="35">
        <f>IF(AB$3&lt;12,"",AB96+AB98)</f>
        <v/>
      </c>
      <c r="AC99" s="35">
        <f>IF(AC$3&lt;12,"",AC96+AC98)</f>
        <v/>
      </c>
      <c r="AD99" s="35">
        <f>IF(AD$3&lt;12,"",AD96+AD98)</f>
        <v/>
      </c>
      <c r="AE99" s="35">
        <f>IF(AE$3&lt;12,"",AE96+AE98)</f>
        <v/>
      </c>
      <c r="AF99" s="35">
        <f>IF(AF$3&lt;12,"",AF96+AF98)</f>
        <v/>
      </c>
      <c r="AG99" s="35">
        <f>IF(AG$3&lt;12,"",AG96+AG98)</f>
        <v/>
      </c>
      <c r="AH99" s="35">
        <f>IF(AH$3&lt;12,"",AH96+AH98)</f>
        <v/>
      </c>
      <c r="AI99" s="35">
        <f>IF(AI$3&lt;12,"",AI96+AI98)</f>
        <v/>
      </c>
      <c r="AJ99" s="35">
        <f>IF(AJ$3&lt;12,"",AJ96+AJ98)</f>
        <v/>
      </c>
      <c r="AK99" s="35">
        <f>IF(AK$3&lt;12,"",AK96+AK98)</f>
        <v/>
      </c>
      <c r="AL99" s="35">
        <f>IF(AL$3&lt;12,"",AL96+AL98)</f>
        <v/>
      </c>
      <c r="AN99" s="35">
        <f>INDEX($O99:$AL99,1,AN$5*12)</f>
        <v/>
      </c>
      <c r="AO99" s="35">
        <f>INDEX($O99:$AL99,1,AO$5*12)</f>
        <v/>
      </c>
    </row>
    <row r="100">
      <c r="A100" s="5" t="inlineStr">
        <is>
          <t>Net burn (positive = cash consumed)</t>
        </is>
      </c>
      <c r="B100" s="2" t="inlineStr">
        <is>
          <t>GBP k</t>
        </is>
      </c>
      <c r="O100" s="36">
        <f>-O73</f>
        <v/>
      </c>
      <c r="P100" s="36">
        <f>-P73</f>
        <v/>
      </c>
      <c r="Q100" s="36">
        <f>-Q73</f>
        <v/>
      </c>
      <c r="R100" s="36">
        <f>-R73</f>
        <v/>
      </c>
      <c r="S100" s="36">
        <f>-S73</f>
        <v/>
      </c>
      <c r="T100" s="36">
        <f>-T73</f>
        <v/>
      </c>
      <c r="U100" s="36">
        <f>-U73</f>
        <v/>
      </c>
      <c r="V100" s="36">
        <f>-V73</f>
        <v/>
      </c>
      <c r="W100" s="36">
        <f>-W73</f>
        <v/>
      </c>
      <c r="X100" s="36">
        <f>-X73</f>
        <v/>
      </c>
      <c r="Y100" s="36">
        <f>-Y73</f>
        <v/>
      </c>
      <c r="Z100" s="36">
        <f>-Z73</f>
        <v/>
      </c>
      <c r="AA100" s="36">
        <f>-AA73</f>
        <v/>
      </c>
      <c r="AB100" s="36">
        <f>-AB73</f>
        <v/>
      </c>
      <c r="AC100" s="36">
        <f>-AC73</f>
        <v/>
      </c>
      <c r="AD100" s="36">
        <f>-AD73</f>
        <v/>
      </c>
      <c r="AE100" s="36">
        <f>-AE73</f>
        <v/>
      </c>
      <c r="AF100" s="36">
        <f>-AF73</f>
        <v/>
      </c>
      <c r="AG100" s="36">
        <f>-AG73</f>
        <v/>
      </c>
      <c r="AH100" s="36">
        <f>-AH73</f>
        <v/>
      </c>
      <c r="AI100" s="36">
        <f>-AI73</f>
        <v/>
      </c>
      <c r="AJ100" s="36">
        <f>-AJ73</f>
        <v/>
      </c>
      <c r="AK100" s="36">
        <f>-AK73</f>
        <v/>
      </c>
      <c r="AL100" s="36">
        <f>-AL73</f>
        <v/>
      </c>
      <c r="AN100" s="36">
        <f>SUMIF($O$5:$AL$5,AN$5,$O100:$AL100)</f>
        <v/>
      </c>
      <c r="AO100" s="36">
        <f>SUMIF($O$5:$AL$5,AO$5,$O100:$AL100)</f>
        <v/>
      </c>
    </row>
    <row r="101">
      <c r="A101" s="5" t="inlineStr">
        <is>
          <t>Burn multiple</t>
        </is>
      </c>
      <c r="B101" s="2" t="inlineStr">
        <is>
          <t>x</t>
        </is>
      </c>
      <c r="O101" s="51">
        <f>IF(O95&lt;=0,"n/a",MAX(0,O100)/O95)</f>
        <v/>
      </c>
      <c r="P101" s="51">
        <f>IF(P95&lt;=0,"n/a",MAX(0,P100)/P95)</f>
        <v/>
      </c>
      <c r="Q101" s="51">
        <f>IF(Q95&lt;=0,"n/a",MAX(0,Q100)/Q95)</f>
        <v/>
      </c>
      <c r="R101" s="51">
        <f>IF(R95&lt;=0,"n/a",MAX(0,R100)/R95)</f>
        <v/>
      </c>
      <c r="S101" s="51">
        <f>IF(S95&lt;=0,"n/a",MAX(0,S100)/S95)</f>
        <v/>
      </c>
      <c r="T101" s="51">
        <f>IF(T95&lt;=0,"n/a",MAX(0,T100)/T95)</f>
        <v/>
      </c>
      <c r="U101" s="51">
        <f>IF(U95&lt;=0,"n/a",MAX(0,U100)/U95)</f>
        <v/>
      </c>
      <c r="V101" s="51">
        <f>IF(V95&lt;=0,"n/a",MAX(0,V100)/V95)</f>
        <v/>
      </c>
      <c r="W101" s="51">
        <f>IF(W95&lt;=0,"n/a",MAX(0,W100)/W95)</f>
        <v/>
      </c>
      <c r="X101" s="51">
        <f>IF(X95&lt;=0,"n/a",MAX(0,X100)/X95)</f>
        <v/>
      </c>
      <c r="Y101" s="51">
        <f>IF(Y95&lt;=0,"n/a",MAX(0,Y100)/Y95)</f>
        <v/>
      </c>
      <c r="Z101" s="51">
        <f>IF(Z95&lt;=0,"n/a",MAX(0,Z100)/Z95)</f>
        <v/>
      </c>
      <c r="AA101" s="51">
        <f>IF(AA95&lt;=0,"n/a",MAX(0,AA100)/AA95)</f>
        <v/>
      </c>
      <c r="AB101" s="51">
        <f>IF(AB95&lt;=0,"n/a",MAX(0,AB100)/AB95)</f>
        <v/>
      </c>
      <c r="AC101" s="51">
        <f>IF(AC95&lt;=0,"n/a",MAX(0,AC100)/AC95)</f>
        <v/>
      </c>
      <c r="AD101" s="51">
        <f>IF(AD95&lt;=0,"n/a",MAX(0,AD100)/AD95)</f>
        <v/>
      </c>
      <c r="AE101" s="51">
        <f>IF(AE95&lt;=0,"n/a",MAX(0,AE100)/AE95)</f>
        <v/>
      </c>
      <c r="AF101" s="51">
        <f>IF(AF95&lt;=0,"n/a",MAX(0,AF100)/AF95)</f>
        <v/>
      </c>
      <c r="AG101" s="51">
        <f>IF(AG95&lt;=0,"n/a",MAX(0,AG100)/AG95)</f>
        <v/>
      </c>
      <c r="AH101" s="51">
        <f>IF(AH95&lt;=0,"n/a",MAX(0,AH100)/AH95)</f>
        <v/>
      </c>
      <c r="AI101" s="51">
        <f>IF(AI95&lt;=0,"n/a",MAX(0,AI100)/AI95)</f>
        <v/>
      </c>
      <c r="AJ101" s="51">
        <f>IF(AJ95&lt;=0,"n/a",MAX(0,AJ100)/AJ95)</f>
        <v/>
      </c>
      <c r="AK101" s="51">
        <f>IF(AK95&lt;=0,"n/a",MAX(0,AK100)/AK95)</f>
        <v/>
      </c>
      <c r="AL101" s="51">
        <f>IF(AL95&lt;=0,"n/a",MAX(0,AL100)/AL95)</f>
        <v/>
      </c>
      <c r="AN101" s="51">
        <f>INDEX($O101:$AL101,1,AN$5*12)</f>
        <v/>
      </c>
      <c r="AO101" s="51">
        <f>INDEX($O101:$AL101,1,AO$5*12)</f>
        <v/>
      </c>
    </row>
    <row r="102">
      <c r="A102" s="5" t="inlineStr">
        <is>
          <t>Cash runway (months at trailing 3m average burn)</t>
        </is>
      </c>
      <c r="B102" s="2" t="inlineStr">
        <is>
          <t>months</t>
        </is>
      </c>
      <c r="O102" s="62">
        <f>IF(AVERAGE(M100:O100)&lt;=0,"n/a",O74/AVERAGE(M100:O100))</f>
        <v/>
      </c>
      <c r="P102" s="62">
        <f>IF(AVERAGE(N100:P100)&lt;=0,"n/a",P74/AVERAGE(N100:P100))</f>
        <v/>
      </c>
      <c r="Q102" s="62">
        <f>IF(AVERAGE(O100:Q100)&lt;=0,"n/a",Q74/AVERAGE(O100:Q100))</f>
        <v/>
      </c>
      <c r="R102" s="62">
        <f>IF(AVERAGE(P100:R100)&lt;=0,"n/a",R74/AVERAGE(P100:R100))</f>
        <v/>
      </c>
      <c r="S102" s="62">
        <f>IF(AVERAGE(Q100:S100)&lt;=0,"n/a",S74/AVERAGE(Q100:S100))</f>
        <v/>
      </c>
      <c r="T102" s="62">
        <f>IF(AVERAGE(R100:T100)&lt;=0,"n/a",T74/AVERAGE(R100:T100))</f>
        <v/>
      </c>
      <c r="U102" s="62">
        <f>IF(AVERAGE(S100:U100)&lt;=0,"n/a",U74/AVERAGE(S100:U100))</f>
        <v/>
      </c>
      <c r="V102" s="62">
        <f>IF(AVERAGE(T100:V100)&lt;=0,"n/a",V74/AVERAGE(T100:V100))</f>
        <v/>
      </c>
      <c r="W102" s="62">
        <f>IF(AVERAGE(U100:W100)&lt;=0,"n/a",W74/AVERAGE(U100:W100))</f>
        <v/>
      </c>
      <c r="X102" s="62">
        <f>IF(AVERAGE(V100:X100)&lt;=0,"n/a",X74/AVERAGE(V100:X100))</f>
        <v/>
      </c>
      <c r="Y102" s="62">
        <f>IF(AVERAGE(W100:Y100)&lt;=0,"n/a",Y74/AVERAGE(W100:Y100))</f>
        <v/>
      </c>
      <c r="Z102" s="62">
        <f>IF(AVERAGE(X100:Z100)&lt;=0,"n/a",Z74/AVERAGE(X100:Z100))</f>
        <v/>
      </c>
      <c r="AA102" s="62">
        <f>IF(AVERAGE(Y100:AA100)&lt;=0,"n/a",AA74/AVERAGE(Y100:AA100))</f>
        <v/>
      </c>
      <c r="AB102" s="62">
        <f>IF(AVERAGE(Z100:AB100)&lt;=0,"n/a",AB74/AVERAGE(Z100:AB100))</f>
        <v/>
      </c>
      <c r="AC102" s="62">
        <f>IF(AVERAGE(AA100:AC100)&lt;=0,"n/a",AC74/AVERAGE(AA100:AC100))</f>
        <v/>
      </c>
      <c r="AD102" s="62">
        <f>IF(AVERAGE(AB100:AD100)&lt;=0,"n/a",AD74/AVERAGE(AB100:AD100))</f>
        <v/>
      </c>
      <c r="AE102" s="62">
        <f>IF(AVERAGE(AC100:AE100)&lt;=0,"n/a",AE74/AVERAGE(AC100:AE100))</f>
        <v/>
      </c>
      <c r="AF102" s="62">
        <f>IF(AVERAGE(AD100:AF100)&lt;=0,"n/a",AF74/AVERAGE(AD100:AF100))</f>
        <v/>
      </c>
      <c r="AG102" s="62">
        <f>IF(AVERAGE(AE100:AG100)&lt;=0,"n/a",AG74/AVERAGE(AE100:AG100))</f>
        <v/>
      </c>
      <c r="AH102" s="62">
        <f>IF(AVERAGE(AF100:AH100)&lt;=0,"n/a",AH74/AVERAGE(AF100:AH100))</f>
        <v/>
      </c>
      <c r="AI102" s="62">
        <f>IF(AVERAGE(AG100:AI100)&lt;=0,"n/a",AI74/AVERAGE(AG100:AI100))</f>
        <v/>
      </c>
      <c r="AJ102" s="62">
        <f>IF(AVERAGE(AH100:AJ100)&lt;=0,"n/a",AJ74/AVERAGE(AH100:AJ100))</f>
        <v/>
      </c>
      <c r="AK102" s="62">
        <f>IF(AVERAGE(AI100:AK100)&lt;=0,"n/a",AK74/AVERAGE(AI100:AK100))</f>
        <v/>
      </c>
      <c r="AL102" s="62">
        <f>IF(AVERAGE(AJ100:AL100)&lt;=0,"n/a",AL74/AVERAGE(AJ100:AL100))</f>
        <v/>
      </c>
      <c r="AN102" s="62">
        <f>INDEX($O102:$AL102,1,AN$5*12)</f>
        <v/>
      </c>
      <c r="AO102" s="62">
        <f>INDEX($O102:$AL102,1,AO$5*12)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</cols>
  <sheetData>
    <row r="1">
      <c r="A1" s="8" t="inlineStr">
        <is>
          <t>Inputs_Comps - illustrative trading comparables (synthetic, fictitious companies)</t>
        </is>
      </c>
    </row>
    <row r="2">
      <c r="A2" s="2" t="inlineStr">
        <is>
          <t>Typed inputs. Not real market data: for demonstrating the method only.</t>
        </is>
      </c>
    </row>
    <row r="4">
      <c r="A4" s="11" t="inlineStr">
        <is>
          <t>Peer</t>
        </is>
      </c>
      <c r="B4" s="12" t="inlineStr">
        <is>
          <t>EV / ARR</t>
        </is>
      </c>
      <c r="C4" s="12" t="inlineStr">
        <is>
          <t>EV / revenue (NTM)</t>
        </is>
      </c>
      <c r="D4" s="12" t="inlineStr">
        <is>
          <t>ARR growth</t>
        </is>
      </c>
    </row>
    <row r="5">
      <c r="A5" s="5" t="inlineStr">
        <is>
          <t>ArchivePoint plc</t>
        </is>
      </c>
      <c r="B5" s="73" t="n">
        <v>5.8</v>
      </c>
      <c r="C5" s="73" t="n">
        <v>5.4</v>
      </c>
      <c r="D5" s="24" t="n">
        <v>0.18</v>
      </c>
    </row>
    <row r="6">
      <c r="A6" s="5" t="inlineStr">
        <is>
          <t>ComplyStream Inc</t>
        </is>
      </c>
      <c r="B6" s="73" t="n">
        <v>7.2</v>
      </c>
      <c r="C6" s="73" t="n">
        <v>6.8</v>
      </c>
      <c r="D6" s="24" t="n">
        <v>0.24</v>
      </c>
    </row>
    <row r="7">
      <c r="A7" s="5" t="inlineStr">
        <is>
          <t>RecordKeep Software</t>
        </is>
      </c>
      <c r="B7" s="73" t="n">
        <v>3.9</v>
      </c>
      <c r="C7" s="73" t="n">
        <v>3.6</v>
      </c>
      <c r="D7" s="24" t="n">
        <v>0.1</v>
      </c>
    </row>
    <row r="8">
      <c r="A8" s="5" t="inlineStr">
        <is>
          <t>SurveilCore Ltd</t>
        </is>
      </c>
      <c r="B8" s="73" t="n">
        <v>6.5</v>
      </c>
      <c r="C8" s="73" t="n">
        <v>6</v>
      </c>
      <c r="D8" s="24" t="n">
        <v>0.21</v>
      </c>
    </row>
    <row r="9">
      <c r="A9" s="5" t="inlineStr">
        <is>
          <t>Datavault Group</t>
        </is>
      </c>
      <c r="B9" s="73" t="n">
        <v>4.4</v>
      </c>
      <c r="C9" s="73" t="n">
        <v>4.1</v>
      </c>
      <c r="D9" s="24" t="n">
        <v>0.12</v>
      </c>
    </row>
    <row r="10">
      <c r="A10" s="5" t="inlineStr">
        <is>
          <t>Regulyx</t>
        </is>
      </c>
      <c r="B10" s="73" t="n">
        <v>5.1</v>
      </c>
      <c r="C10" s="73" t="n">
        <v>4.8</v>
      </c>
      <c r="D10" s="24" t="n">
        <v>0.15</v>
      </c>
    </row>
    <row r="12">
      <c r="A12" s="3" t="inlineStr">
        <is>
          <t>Minimum</t>
        </is>
      </c>
      <c r="B12" s="49">
        <f>MIN(B5:B10)</f>
        <v/>
      </c>
      <c r="C12" s="49">
        <f>MIN(C5:C10)</f>
        <v/>
      </c>
      <c r="D12" s="44">
        <f>MIN(D5:D10)</f>
        <v/>
      </c>
    </row>
    <row r="13">
      <c r="A13" s="3" t="inlineStr">
        <is>
          <t>Average</t>
        </is>
      </c>
      <c r="B13" s="49">
        <f>AVERAGE(B5:B10)</f>
        <v/>
      </c>
      <c r="C13" s="49">
        <f>AVERAGE(C5:C10)</f>
        <v/>
      </c>
      <c r="D13" s="44">
        <f>AVERAGE(D5:D10)</f>
        <v/>
      </c>
    </row>
    <row r="14">
      <c r="A14" s="3" t="inlineStr">
        <is>
          <t>Maximum</t>
        </is>
      </c>
      <c r="B14" s="49">
        <f>MAX(B5:B10)</f>
        <v/>
      </c>
      <c r="C14" s="49">
        <f>MAX(C5:C10)</f>
        <v/>
      </c>
      <c r="D14" s="44">
        <f>MAX(D5:D10)</f>
        <v/>
      </c>
    </row>
    <row r="16">
      <c r="A16" s="2" t="inlineStr">
        <is>
          <t>Vaultline's own growth is lower than most peers, which argues for the lower half of the range.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MA_Valuation - Vaultline: DCF, trading comps, offer range and football field</t>
        </is>
      </c>
    </row>
    <row r="2">
      <c r="A2" s="2" t="inlineStr">
        <is>
          <t>GBP thousands unless stated. Years 1-2 from MA_Target; years 3-5 fade growth by inp_ma_fade with free cash flow margin held at year 2.</t>
        </is>
      </c>
    </row>
    <row r="4">
      <c r="A4" s="11" t="inlineStr">
        <is>
          <t>Vaultline standalone DCF</t>
        </is>
      </c>
      <c r="B4" s="12" t="inlineStr">
        <is>
          <t>Unit</t>
        </is>
      </c>
      <c r="C4" s="12">
        <f>"FY"&amp;(YEAR(inp_model_start)+C5-1)</f>
        <v/>
      </c>
      <c r="D4" s="12">
        <f>"FY"&amp;(YEAR(inp_model_start)+D5-1)</f>
        <v/>
      </c>
      <c r="E4" s="12">
        <f>"FY"&amp;(YEAR(inp_model_start)+E5-1)</f>
        <v/>
      </c>
      <c r="F4" s="12">
        <f>"FY"&amp;(YEAR(inp_model_start)+F5-1)</f>
        <v/>
      </c>
      <c r="G4" s="12">
        <f>"FY"&amp;(YEAR(inp_model_start)+G5-1)</f>
        <v/>
      </c>
    </row>
    <row r="5">
      <c r="A5" s="2" t="inlineStr">
        <is>
          <t>Year index</t>
        </is>
      </c>
      <c r="C5" s="26">
        <f>COLUMN()-COLUMN($B$1)</f>
        <v/>
      </c>
      <c r="D5" s="26">
        <f>COLUMN()-COLUMN($B$1)</f>
        <v/>
      </c>
      <c r="E5" s="26">
        <f>COLUMN()-COLUMN($B$1)</f>
        <v/>
      </c>
      <c r="F5" s="26">
        <f>COLUMN()-COLUMN($B$1)</f>
        <v/>
      </c>
      <c r="G5" s="26">
        <f>COLUMN()-COLUMN($B$1)</f>
        <v/>
      </c>
    </row>
    <row r="6">
      <c r="A6" s="5" t="inlineStr">
        <is>
          <t>Opening ARR</t>
        </is>
      </c>
      <c r="B6" s="2" t="inlineStr">
        <is>
          <t>GBP k</t>
        </is>
      </c>
      <c r="C6" s="19">
        <f>MA_Target!AN13</f>
        <v/>
      </c>
      <c r="D6" s="19">
        <f>MA_Target!AO13</f>
        <v/>
      </c>
      <c r="E6" s="36">
        <f>D8</f>
        <v/>
      </c>
      <c r="F6" s="36">
        <f>E8</f>
        <v/>
      </c>
      <c r="G6" s="36">
        <f>F8</f>
        <v/>
      </c>
    </row>
    <row r="7">
      <c r="A7" s="5" t="inlineStr">
        <is>
          <t>ARR growth</t>
        </is>
      </c>
      <c r="B7" s="2" t="inlineStr">
        <is>
          <t>%</t>
        </is>
      </c>
      <c r="C7" s="35">
        <f>C8/C6-1</f>
        <v/>
      </c>
      <c r="D7" s="35">
        <f>D8/D6-1</f>
        <v/>
      </c>
      <c r="E7" s="35">
        <f>D7-inp_ma_fade</f>
        <v/>
      </c>
      <c r="F7" s="35">
        <f>E7-inp_ma_fade</f>
        <v/>
      </c>
      <c r="G7" s="35">
        <f>F7-inp_ma_fade</f>
        <v/>
      </c>
    </row>
    <row r="8">
      <c r="A8" s="3" t="inlineStr">
        <is>
          <t>Closing ARR</t>
        </is>
      </c>
      <c r="B8" s="2" t="inlineStr">
        <is>
          <t>GBP k</t>
        </is>
      </c>
      <c r="C8" s="50">
        <f>MA_Target!AN17</f>
        <v/>
      </c>
      <c r="D8" s="50">
        <f>MA_Target!AO17</f>
        <v/>
      </c>
      <c r="E8" s="42">
        <f>E6*(1+E7)</f>
        <v/>
      </c>
      <c r="F8" s="42">
        <f>F6*(1+F7)</f>
        <v/>
      </c>
      <c r="G8" s="42">
        <f>G6*(1+G7)</f>
        <v/>
      </c>
    </row>
    <row r="9">
      <c r="A9" s="5" t="inlineStr">
        <is>
          <t>Revenue</t>
        </is>
      </c>
      <c r="B9" s="2" t="inlineStr">
        <is>
          <t>GBP k</t>
        </is>
      </c>
      <c r="C9" s="19">
        <f>MA_Target!AN23</f>
        <v/>
      </c>
      <c r="D9" s="19">
        <f>MA_Target!AO23</f>
        <v/>
      </c>
      <c r="E9" s="36">
        <f>D9*E8/D8</f>
        <v/>
      </c>
      <c r="F9" s="36">
        <f>E9*F8/E8</f>
        <v/>
      </c>
      <c r="G9" s="36">
        <f>F9*G8/F8</f>
        <v/>
      </c>
    </row>
    <row r="10">
      <c r="A10" s="5" t="inlineStr">
        <is>
          <t>EBITDA</t>
        </is>
      </c>
      <c r="B10" s="2" t="inlineStr">
        <is>
          <t>GBP k</t>
        </is>
      </c>
      <c r="C10" s="19">
        <f>MA_Target!AN36</f>
        <v/>
      </c>
      <c r="D10" s="19">
        <f>MA_Target!AO36</f>
        <v/>
      </c>
      <c r="E10" s="36">
        <f>E9*D10/D9</f>
        <v/>
      </c>
      <c r="F10" s="36">
        <f>F9*E10/E9</f>
        <v/>
      </c>
      <c r="G10" s="36">
        <f>G9*F10/F9</f>
        <v/>
      </c>
    </row>
    <row r="11">
      <c r="A11" s="5" t="inlineStr">
        <is>
          <t>Unlevered FCF margin (held at year 2 from year 3)</t>
        </is>
      </c>
      <c r="B11" s="2" t="inlineStr">
        <is>
          <t>%</t>
        </is>
      </c>
      <c r="C11" s="35">
        <f>C12/C9</f>
        <v/>
      </c>
      <c r="D11" s="35">
        <f>D12/D9</f>
        <v/>
      </c>
      <c r="E11" s="35">
        <f>D11</f>
        <v/>
      </c>
      <c r="F11" s="35">
        <f>E11</f>
        <v/>
      </c>
      <c r="G11" s="35">
        <f>F11</f>
        <v/>
      </c>
    </row>
    <row r="12">
      <c r="A12" s="3" t="inlineStr">
        <is>
          <t>Unlevered free cash flow</t>
        </is>
      </c>
      <c r="B12" s="2" t="inlineStr">
        <is>
          <t>GBP k</t>
        </is>
      </c>
      <c r="C12" s="46">
        <f>MA_Target!AN69</f>
        <v/>
      </c>
      <c r="D12" s="46">
        <f>MA_Target!AO69</f>
        <v/>
      </c>
      <c r="E12" s="40">
        <f>E9*E11</f>
        <v/>
      </c>
      <c r="F12" s="40">
        <f>F9*F11</f>
        <v/>
      </c>
      <c r="G12" s="40">
        <f>G9*G11</f>
        <v/>
      </c>
    </row>
    <row r="14">
      <c r="A14" s="13" t="inlineStr">
        <is>
          <t>DCF cases (low = WACC +1pt and growth -0.5pt; high = WACC -1pt and growth +0.5pt)</t>
        </is>
      </c>
      <c r="B14" s="14" t="n"/>
      <c r="C14" s="14" t="n"/>
      <c r="D14" s="14" t="n"/>
      <c r="E14" s="14" t="n"/>
      <c r="F14" s="14" t="n"/>
      <c r="G14" s="14" t="n"/>
    </row>
    <row r="15">
      <c r="A15" s="11" t="inlineStr"/>
      <c r="B15" s="12" t="inlineStr">
        <is>
          <t>Unit</t>
        </is>
      </c>
      <c r="C15" s="12" t="inlineStr">
        <is>
          <t>Low</t>
        </is>
      </c>
      <c r="D15" s="12" t="inlineStr">
        <is>
          <t>Base</t>
        </is>
      </c>
      <c r="E15" s="12" t="inlineStr">
        <is>
          <t>High</t>
        </is>
      </c>
    </row>
    <row r="16">
      <c r="A16" s="5" t="inlineStr">
        <is>
          <t>Discount rate (WACC)</t>
        </is>
      </c>
      <c r="C16" s="35">
        <f>inp_ma_wacc+inp_ma_wacc_band</f>
        <v/>
      </c>
      <c r="D16" s="35">
        <f>inp_ma_wacc</f>
        <v/>
      </c>
      <c r="E16" s="35">
        <f>inp_ma_wacc-inp_ma_wacc_band</f>
        <v/>
      </c>
    </row>
    <row r="17">
      <c r="A17" s="5" t="inlineStr">
        <is>
          <t>Terminal growth</t>
        </is>
      </c>
      <c r="C17" s="35">
        <f>inp_ma_tg-inp_ma_tg_band</f>
        <v/>
      </c>
      <c r="D17" s="35">
        <f>inp_ma_tg</f>
        <v/>
      </c>
      <c r="E17" s="35">
        <f>inp_ma_tg+inp_ma_tg_band</f>
        <v/>
      </c>
    </row>
    <row r="18">
      <c r="A18" s="5" t="inlineStr">
        <is>
          <t>Discount factor, low case</t>
        </is>
      </c>
      <c r="C18" s="33">
        <f>1/(1+$C$16)^C$5</f>
        <v/>
      </c>
      <c r="D18" s="33">
        <f>1/(1+$C$16)^D$5</f>
        <v/>
      </c>
      <c r="E18" s="33">
        <f>1/(1+$C$16)^E$5</f>
        <v/>
      </c>
      <c r="F18" s="33">
        <f>1/(1+$C$16)^F$5</f>
        <v/>
      </c>
      <c r="G18" s="33">
        <f>1/(1+$C$16)^G$5</f>
        <v/>
      </c>
    </row>
    <row r="19">
      <c r="A19" s="5" t="inlineStr">
        <is>
          <t>Discount factor, base case</t>
        </is>
      </c>
      <c r="C19" s="33">
        <f>1/(1+$D$16)^C$5</f>
        <v/>
      </c>
      <c r="D19" s="33">
        <f>1/(1+$D$16)^D$5</f>
        <v/>
      </c>
      <c r="E19" s="33">
        <f>1/(1+$D$16)^E$5</f>
        <v/>
      </c>
      <c r="F19" s="33">
        <f>1/(1+$D$16)^F$5</f>
        <v/>
      </c>
      <c r="G19" s="33">
        <f>1/(1+$D$16)^G$5</f>
        <v/>
      </c>
    </row>
    <row r="20">
      <c r="A20" s="5" t="inlineStr">
        <is>
          <t>Discount factor, high case</t>
        </is>
      </c>
      <c r="C20" s="33">
        <f>1/(1+$E$16)^C$5</f>
        <v/>
      </c>
      <c r="D20" s="33">
        <f>1/(1+$E$16)^D$5</f>
        <v/>
      </c>
      <c r="E20" s="33">
        <f>1/(1+$E$16)^E$5</f>
        <v/>
      </c>
      <c r="F20" s="33">
        <f>1/(1+$E$16)^F$5</f>
        <v/>
      </c>
      <c r="G20" s="33">
        <f>1/(1+$E$16)^G$5</f>
        <v/>
      </c>
    </row>
    <row r="21">
      <c r="A21" s="5" t="inlineStr">
        <is>
          <t>Present value of years 1-5 cash flows</t>
        </is>
      </c>
      <c r="C21" s="36">
        <f>SUMPRODUCT($C$12:$G$12,$C$18:$G$18)</f>
        <v/>
      </c>
      <c r="D21" s="36">
        <f>SUMPRODUCT($C$12:$G$12,$C$19:$G$19)</f>
        <v/>
      </c>
      <c r="E21" s="36">
        <f>SUMPRODUCT($C$12:$G$12,$C$20:$G$20)</f>
        <v/>
      </c>
    </row>
    <row r="22">
      <c r="A22" s="5" t="inlineStr">
        <is>
          <t>Terminal value (Gordon growth on year 5)</t>
        </is>
      </c>
      <c r="C22" s="36">
        <f>$G$12*(1+C17)/(C16-C17)</f>
        <v/>
      </c>
      <c r="D22" s="36">
        <f>$G$12*(1+D17)/(D16-D17)</f>
        <v/>
      </c>
      <c r="E22" s="36">
        <f>$G$12*(1+E17)/(E16-E17)</f>
        <v/>
      </c>
    </row>
    <row r="23">
      <c r="A23" s="5" t="inlineStr">
        <is>
          <t>Present value of terminal value</t>
        </is>
      </c>
      <c r="C23" s="36">
        <f>C22*$G$18</f>
        <v/>
      </c>
      <c r="D23" s="36">
        <f>D22*$G$19</f>
        <v/>
      </c>
      <c r="E23" s="36">
        <f>E22*$G$20</f>
        <v/>
      </c>
    </row>
    <row r="24">
      <c r="A24" s="3" t="inlineStr">
        <is>
          <t>Enterprise value (DCF)</t>
        </is>
      </c>
      <c r="C24" s="42">
        <f>C21+C23</f>
        <v/>
      </c>
      <c r="D24" s="42">
        <f>D21+D23</f>
        <v/>
      </c>
      <c r="E24" s="42">
        <f>E21+E23</f>
        <v/>
      </c>
    </row>
    <row r="25">
      <c r="A25" s="5" t="inlineStr">
        <is>
          <t>Terminal value as % of EV (base)</t>
        </is>
      </c>
      <c r="D25" s="35">
        <f>D23/D24</f>
        <v/>
      </c>
    </row>
    <row r="27">
      <c r="A27" s="13" t="inlineStr">
        <is>
          <t>Trading comps applied to Vaultline (Inputs_Comps)</t>
        </is>
      </c>
      <c r="B27" s="14" t="n"/>
      <c r="C27" s="14" t="n"/>
      <c r="D27" s="14" t="n"/>
      <c r="E27" s="14" t="n"/>
      <c r="F27" s="14" t="n"/>
      <c r="G27" s="14" t="n"/>
    </row>
    <row r="28">
      <c r="A28" s="11" t="inlineStr"/>
      <c r="B28" s="12" t="inlineStr">
        <is>
          <t>Unit</t>
        </is>
      </c>
      <c r="C28" s="12" t="inlineStr">
        <is>
          <t>Low (min)</t>
        </is>
      </c>
      <c r="D28" s="12" t="inlineStr">
        <is>
          <t>Mid (average)</t>
        </is>
      </c>
      <c r="E28" s="12" t="inlineStr">
        <is>
          <t>High (max)</t>
        </is>
      </c>
    </row>
    <row r="29">
      <c r="A29" s="5" t="inlineStr">
        <is>
          <t>EV / ARR multiple</t>
        </is>
      </c>
      <c r="C29" s="63">
        <f>Inputs_Comps!B12</f>
        <v/>
      </c>
      <c r="D29" s="63">
        <f>Inputs_Comps!B13</f>
        <v/>
      </c>
      <c r="E29" s="63">
        <f>Inputs_Comps!B14</f>
        <v/>
      </c>
    </row>
    <row r="30">
      <c r="A30" s="5" t="inlineStr">
        <is>
          <t>Implied EV from ARR</t>
        </is>
      </c>
      <c r="C30" s="36">
        <f>C29*MA_PPA!$C$6</f>
        <v/>
      </c>
      <c r="D30" s="36">
        <f>D29*MA_PPA!$C$6</f>
        <v/>
      </c>
      <c r="E30" s="36">
        <f>E29*MA_PPA!$C$6</f>
        <v/>
      </c>
    </row>
    <row r="31">
      <c r="A31" s="5" t="inlineStr">
        <is>
          <t>EV / revenue multiple (NTM)</t>
        </is>
      </c>
      <c r="C31" s="63">
        <f>Inputs_Comps!C12</f>
        <v/>
      </c>
      <c r="D31" s="63">
        <f>Inputs_Comps!C13</f>
        <v/>
      </c>
      <c r="E31" s="63">
        <f>Inputs_Comps!C14</f>
        <v/>
      </c>
    </row>
    <row r="32">
      <c r="A32" s="5" t="inlineStr">
        <is>
          <t>Implied EV from FY1 revenue</t>
        </is>
      </c>
      <c r="C32" s="36">
        <f>C31*C9</f>
        <v/>
      </c>
      <c r="D32" s="36">
        <f>D31*C9</f>
        <v/>
      </c>
      <c r="E32" s="36">
        <f>E31*C9</f>
        <v/>
      </c>
    </row>
    <row r="34">
      <c r="A34" s="13" t="inlineStr">
        <is>
          <t>Offer</t>
        </is>
      </c>
      <c r="B34" s="14" t="n"/>
      <c r="C34" s="14" t="n"/>
      <c r="D34" s="14" t="n"/>
      <c r="E34" s="14" t="n"/>
      <c r="F34" s="14" t="n"/>
      <c r="G34" s="14" t="n"/>
    </row>
    <row r="35">
      <c r="A35" s="11" t="inlineStr"/>
      <c r="B35" s="12" t="inlineStr">
        <is>
          <t>Unit</t>
        </is>
      </c>
      <c r="C35" s="12" t="inlineStr">
        <is>
          <t>Low</t>
        </is>
      </c>
      <c r="D35" s="12" t="inlineStr">
        <is>
          <t>Offer</t>
        </is>
      </c>
      <c r="E35" s="12" t="inlineStr">
        <is>
          <t>High</t>
        </is>
      </c>
    </row>
    <row r="36">
      <c r="A36" s="5" t="inlineStr">
        <is>
          <t>EV / ARR (offer -0.5x / offer / +0.5x)</t>
        </is>
      </c>
      <c r="C36" s="51">
        <f>inp_ma_offer_mult-0.5</f>
        <v/>
      </c>
      <c r="D36" s="51">
        <f>inp_ma_offer_mult</f>
        <v/>
      </c>
      <c r="E36" s="51">
        <f>inp_ma_offer_mult+0.5</f>
        <v/>
      </c>
    </row>
    <row r="37">
      <c r="A37" s="5" t="inlineStr">
        <is>
          <t>Enterprise value</t>
        </is>
      </c>
      <c r="C37" s="36">
        <f>C36*MA_PPA!$C$6</f>
        <v/>
      </c>
      <c r="D37" s="36">
        <f>D36*MA_PPA!$C$6</f>
        <v/>
      </c>
      <c r="E37" s="36">
        <f>E36*MA_PPA!$C$6</f>
        <v/>
      </c>
    </row>
    <row r="38">
      <c r="A38" s="5" t="inlineStr">
        <is>
          <t>Equity purchase price (EV + cash acquired)</t>
        </is>
      </c>
      <c r="C38" s="36">
        <f>C37+MA_PPA!$C$9</f>
        <v/>
      </c>
      <c r="D38" s="36">
        <f>D37+MA_PPA!$C$9</f>
        <v/>
      </c>
      <c r="E38" s="36">
        <f>E37+MA_PPA!$C$9</f>
        <v/>
      </c>
    </row>
    <row r="39">
      <c r="A39" s="5" t="inlineStr">
        <is>
          <t>Implied EV / FY1 revenue</t>
        </is>
      </c>
      <c r="C39" s="51">
        <f>C37/$C$9</f>
        <v/>
      </c>
      <c r="D39" s="51">
        <f>D37/$C$9</f>
        <v/>
      </c>
      <c r="E39" s="51">
        <f>E37/$C$9</f>
        <v/>
      </c>
    </row>
    <row r="40">
      <c r="A40" s="5" t="inlineStr">
        <is>
          <t>Implied EV / FY1 EBITDA</t>
        </is>
      </c>
      <c r="C40" s="51">
        <f>C37/$C$10</f>
        <v/>
      </c>
      <c r="D40" s="51">
        <f>D37/$C$10</f>
        <v/>
      </c>
      <c r="E40" s="51">
        <f>E37/$C$10</f>
        <v/>
      </c>
    </row>
    <row r="42">
      <c r="A42" s="13" t="inlineStr">
        <is>
          <t>Football field: enterprise value (GBP m)</t>
        </is>
      </c>
      <c r="B42" s="14" t="n"/>
      <c r="C42" s="14" t="n"/>
      <c r="D42" s="14" t="n"/>
      <c r="E42" s="14" t="n"/>
      <c r="F42" s="14" t="n"/>
      <c r="G42" s="14" t="n"/>
    </row>
    <row r="43">
      <c r="A43" s="11" t="inlineStr">
        <is>
          <t>Method</t>
        </is>
      </c>
      <c r="B43" s="12" t="inlineStr"/>
      <c r="C43" s="12" t="inlineStr">
        <is>
          <t>Low</t>
        </is>
      </c>
      <c r="D43" s="12" t="inlineStr">
        <is>
          <t>Mid</t>
        </is>
      </c>
      <c r="E43" s="12" t="inlineStr">
        <is>
          <t>High</t>
        </is>
      </c>
      <c r="F43" s="12" t="inlineStr">
        <is>
          <t>Spread</t>
        </is>
      </c>
      <c r="G43" s="12" t="inlineStr"/>
    </row>
    <row r="44">
      <c r="A44" s="5" t="inlineStr">
        <is>
          <t>DCF (WACC +/-1pt, growth +/-0.5pt)</t>
        </is>
      </c>
      <c r="C44" s="34">
        <f>MA_Valuation!$C$24/1000</f>
        <v/>
      </c>
      <c r="D44" s="34">
        <f>MA_Valuation!$D$24/1000</f>
        <v/>
      </c>
      <c r="E44" s="34">
        <f>MA_Valuation!$E$24/1000</f>
        <v/>
      </c>
      <c r="F44" s="34">
        <f>E44-C44</f>
        <v/>
      </c>
    </row>
    <row r="45">
      <c r="A45" s="5" t="inlineStr">
        <is>
          <t>DCF plus net synergies (50% / achieved / 100%)</t>
        </is>
      </c>
      <c r="C45" s="34">
        <f>(MA_Valuation!$C$24+0.5*MA_Returns!C20-MA_Returns!C22)/1000</f>
        <v/>
      </c>
      <c r="D45" s="34">
        <f>(MA_Valuation!$D$24+MA_Returns!C21-MA_Returns!C22)/1000</f>
        <v/>
      </c>
      <c r="E45" s="34">
        <f>(MA_Valuation!$E$24+MA_Returns!C20-MA_Returns!C22)/1000</f>
        <v/>
      </c>
      <c r="F45" s="34">
        <f>E45-C45</f>
        <v/>
      </c>
    </row>
    <row r="46">
      <c r="A46" s="5" t="inlineStr">
        <is>
          <t>Trading comps: EV / ARR</t>
        </is>
      </c>
      <c r="C46" s="34">
        <f>C30/1000</f>
        <v/>
      </c>
      <c r="D46" s="34">
        <f>D30/1000</f>
        <v/>
      </c>
      <c r="E46" s="34">
        <f>E30/1000</f>
        <v/>
      </c>
      <c r="F46" s="34">
        <f>E46-C46</f>
        <v/>
      </c>
    </row>
    <row r="47">
      <c r="A47" s="5" t="inlineStr">
        <is>
          <t>Trading comps: EV / FY1 revenue</t>
        </is>
      </c>
      <c r="C47" s="34">
        <f>C32/1000</f>
        <v/>
      </c>
      <c r="D47" s="34">
        <f>D32/1000</f>
        <v/>
      </c>
      <c r="E47" s="34">
        <f>E32/1000</f>
        <v/>
      </c>
      <c r="F47" s="34">
        <f>E47-C47</f>
        <v/>
      </c>
    </row>
    <row r="48">
      <c r="A48" s="3" t="inlineStr">
        <is>
          <t>Offer range (+/-0.5x ARR)</t>
        </is>
      </c>
      <c r="C48" s="34">
        <f>C37/1000</f>
        <v/>
      </c>
      <c r="D48" s="34">
        <f>D37/1000</f>
        <v/>
      </c>
      <c r="E48" s="34">
        <f>E37/1000</f>
        <v/>
      </c>
      <c r="F48" s="34">
        <f>E48-C48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MA_Returns - value creation, payback, ARR accretion, cash runway impact</t>
        </is>
      </c>
    </row>
    <row r="2">
      <c r="A2" s="2" t="inlineStr">
        <is>
          <t>GBP thousands. Value created = standalone DCF + present value of net synergies - enterprise value paid - transaction costs - present value of integration costs.</t>
        </is>
      </c>
    </row>
    <row r="4">
      <c r="A4" s="11" t="inlineStr">
        <is>
          <t>Synergy and deal cash flows (full plan = 100% achieved)</t>
        </is>
      </c>
      <c r="B4" s="12" t="inlineStr">
        <is>
          <t>Unit</t>
        </is>
      </c>
      <c r="C4" s="12">
        <f>"FY"&amp;(YEAR(inp_model_start)+C5-1)</f>
        <v/>
      </c>
      <c r="D4" s="12">
        <f>"FY"&amp;(YEAR(inp_model_start)+D5-1)</f>
        <v/>
      </c>
      <c r="E4" s="12">
        <f>"FY"&amp;(YEAR(inp_model_start)+E5-1)</f>
        <v/>
      </c>
      <c r="F4" s="12">
        <f>"FY"&amp;(YEAR(inp_model_start)+F5-1)</f>
        <v/>
      </c>
      <c r="G4" s="12">
        <f>"FY"&amp;(YEAR(inp_model_start)+G5-1)</f>
        <v/>
      </c>
    </row>
    <row r="5">
      <c r="A5" s="2" t="inlineStr">
        <is>
          <t>Year index</t>
        </is>
      </c>
      <c r="C5" s="26">
        <f>COLUMN()-COLUMN($B$1)</f>
        <v/>
      </c>
      <c r="D5" s="26">
        <f>COLUMN()-COLUMN($B$1)</f>
        <v/>
      </c>
      <c r="E5" s="26">
        <f>COLUMN()-COLUMN($B$1)</f>
        <v/>
      </c>
      <c r="F5" s="26">
        <f>COLUMN()-COLUMN($B$1)</f>
        <v/>
      </c>
      <c r="G5" s="26">
        <f>COLUMN()-COLUMN($B$1)</f>
        <v/>
      </c>
    </row>
    <row r="6">
      <c r="A6" s="5" t="inlineStr">
        <is>
          <t>Cross-sell ARR (closing)</t>
        </is>
      </c>
      <c r="B6" s="2" t="inlineStr">
        <is>
          <t>GBP k</t>
        </is>
      </c>
      <c r="C6" s="19">
        <f>MA_ProForma!AN49</f>
        <v/>
      </c>
      <c r="D6" s="19">
        <f>MA_ProForma!AO49</f>
        <v/>
      </c>
      <c r="E6" s="36">
        <f>D6+($D6-$C6)</f>
        <v/>
      </c>
      <c r="F6" s="36">
        <f>E6+($D6-$C6)</f>
        <v/>
      </c>
      <c r="G6" s="36">
        <f>F6+($D6-$C6)</f>
        <v/>
      </c>
    </row>
    <row r="7">
      <c r="A7" s="5" t="inlineStr">
        <is>
          <t>Cross-sell revenue</t>
        </is>
      </c>
      <c r="B7" s="2" t="inlineStr">
        <is>
          <t>GBP k</t>
        </is>
      </c>
      <c r="C7" s="19">
        <f>MA_ProForma!AN50</f>
        <v/>
      </c>
      <c r="D7" s="19">
        <f>MA_ProForma!AO50</f>
        <v/>
      </c>
      <c r="E7" s="36">
        <f>(D6+E6)/2</f>
        <v/>
      </c>
      <c r="F7" s="36">
        <f>(E6+F6)/2</f>
        <v/>
      </c>
      <c r="G7" s="36">
        <f>(F6+G6)/2</f>
        <v/>
      </c>
    </row>
    <row r="8">
      <c r="A8" s="5" t="inlineStr">
        <is>
          <t>Cross-sell contribution</t>
        </is>
      </c>
      <c r="B8" s="2" t="inlineStr">
        <is>
          <t>GBP k</t>
        </is>
      </c>
      <c r="C8" s="36">
        <f>C7*inp_ma_syn_margin</f>
        <v/>
      </c>
      <c r="D8" s="36">
        <f>D7*inp_ma_syn_margin</f>
        <v/>
      </c>
      <c r="E8" s="36">
        <f>E7*inp_ma_syn_margin</f>
        <v/>
      </c>
      <c r="F8" s="36">
        <f>F7*inp_ma_syn_margin</f>
        <v/>
      </c>
      <c r="G8" s="36">
        <f>G7*inp_ma_syn_margin</f>
        <v/>
      </c>
    </row>
    <row r="9">
      <c r="A9" s="5" t="inlineStr">
        <is>
          <t>Cost synergies</t>
        </is>
      </c>
      <c r="B9" s="2" t="inlineStr">
        <is>
          <t>GBP k</t>
        </is>
      </c>
      <c r="C9" s="19">
        <f>MA_ProForma!AN52</f>
        <v/>
      </c>
      <c r="D9" s="19">
        <f>MA_ProForma!AO52</f>
        <v/>
      </c>
      <c r="E9" s="36">
        <f>inp_ma_cost_syn</f>
        <v/>
      </c>
      <c r="F9" s="36">
        <f>inp_ma_cost_syn</f>
        <v/>
      </c>
      <c r="G9" s="36">
        <f>inp_ma_cost_syn</f>
        <v/>
      </c>
    </row>
    <row r="10">
      <c r="A10" s="3" t="inlineStr">
        <is>
          <t>Net synergies after tax</t>
        </is>
      </c>
      <c r="B10" s="2" t="inlineStr">
        <is>
          <t>GBP k</t>
        </is>
      </c>
      <c r="C10" s="40">
        <f>(C8+C9)*(1-inp_tax)</f>
        <v/>
      </c>
      <c r="D10" s="40">
        <f>(D8+D9)*(1-inp_tax)</f>
        <v/>
      </c>
      <c r="E10" s="40">
        <f>(E8+E9)*(1-inp_tax)</f>
        <v/>
      </c>
      <c r="F10" s="40">
        <f>(F8+F9)*(1-inp_tax)</f>
        <v/>
      </c>
      <c r="G10" s="40">
        <f>(G8+G9)*(1-inp_tax)</f>
        <v/>
      </c>
    </row>
    <row r="11">
      <c r="A11" s="5" t="inlineStr">
        <is>
          <t>Integration costs after tax</t>
        </is>
      </c>
      <c r="B11" s="2" t="inlineStr">
        <is>
          <t>GBP k</t>
        </is>
      </c>
      <c r="C11" s="36">
        <f>MA_ProForma!AN53*(1-inp_tax)</f>
        <v/>
      </c>
      <c r="D11" s="36">
        <f>MA_ProForma!AO53*(1-inp_tax)</f>
        <v/>
      </c>
      <c r="E11" s="36">
        <f>0</f>
        <v/>
      </c>
      <c r="F11" s="36">
        <f>0</f>
        <v/>
      </c>
      <c r="G11" s="36">
        <f>0</f>
        <v/>
      </c>
    </row>
    <row r="12">
      <c r="A12" s="5" t="inlineStr">
        <is>
          <t>Vaultline standalone free cash flow</t>
        </is>
      </c>
      <c r="B12" s="2" t="inlineStr">
        <is>
          <t>GBP k</t>
        </is>
      </c>
      <c r="C12" s="19">
        <f>MA_Valuation!C12</f>
        <v/>
      </c>
      <c r="D12" s="19">
        <f>MA_Valuation!D12</f>
        <v/>
      </c>
      <c r="E12" s="19">
        <f>MA_Valuation!E12</f>
        <v/>
      </c>
      <c r="F12" s="19">
        <f>MA_Valuation!F12</f>
        <v/>
      </c>
      <c r="G12" s="19">
        <f>MA_Valuation!G12</f>
        <v/>
      </c>
    </row>
    <row r="13">
      <c r="A13" s="3" t="inlineStr">
        <is>
          <t>Incremental cash flow to Northgate (at achieved synergies)</t>
        </is>
      </c>
      <c r="B13" s="2" t="inlineStr">
        <is>
          <t>GBP k</t>
        </is>
      </c>
      <c r="C13" s="40">
        <f>C12+inp_ma_syn_achieved*C10-C11</f>
        <v/>
      </c>
      <c r="D13" s="40">
        <f>D12+inp_ma_syn_achieved*D10-D11</f>
        <v/>
      </c>
      <c r="E13" s="40">
        <f>E12+inp_ma_syn_achieved*E10-E11</f>
        <v/>
      </c>
      <c r="F13" s="40">
        <f>F12+inp_ma_syn_achieved*F10-F11</f>
        <v/>
      </c>
      <c r="G13" s="40">
        <f>G12+inp_ma_syn_achieved*G10-G11</f>
        <v/>
      </c>
    </row>
    <row r="14">
      <c r="A14" s="5" t="inlineStr">
        <is>
          <t>Cumulative incremental cash flow</t>
        </is>
      </c>
      <c r="B14" s="2" t="inlineStr">
        <is>
          <t>GBP k</t>
        </is>
      </c>
      <c r="C14" s="36">
        <f>SUM($C13:C13)</f>
        <v/>
      </c>
      <c r="D14" s="36">
        <f>SUM($C13:D13)</f>
        <v/>
      </c>
      <c r="E14" s="36">
        <f>SUM($C13:E13)</f>
        <v/>
      </c>
      <c r="F14" s="36">
        <f>SUM($C13:F13)</f>
        <v/>
      </c>
      <c r="G14" s="36">
        <f>SUM($C13:G13)</f>
        <v/>
      </c>
    </row>
    <row r="15">
      <c r="A15" s="5" t="inlineStr">
        <is>
          <t>Cumulative, prior year</t>
        </is>
      </c>
      <c r="B15" s="2" t="inlineStr">
        <is>
          <t>GBP k</t>
        </is>
      </c>
      <c r="C15" s="36">
        <f>0</f>
        <v/>
      </c>
      <c r="D15" s="36">
        <f>C14</f>
        <v/>
      </c>
      <c r="E15" s="36">
        <f>D14</f>
        <v/>
      </c>
      <c r="F15" s="36">
        <f>E14</f>
        <v/>
      </c>
      <c r="G15" s="36">
        <f>F14</f>
        <v/>
      </c>
    </row>
    <row r="16">
      <c r="A16" s="5" t="inlineStr">
        <is>
          <t>Discount factor (base WACC)</t>
        </is>
      </c>
      <c r="B16" s="2" t="inlineStr">
        <is>
          <t>x</t>
        </is>
      </c>
      <c r="C16" s="33">
        <f>1/(1+inp_ma_wacc)^C$5</f>
        <v/>
      </c>
      <c r="D16" s="33">
        <f>1/(1+inp_ma_wacc)^D$5</f>
        <v/>
      </c>
      <c r="E16" s="33">
        <f>1/(1+inp_ma_wacc)^E$5</f>
        <v/>
      </c>
      <c r="F16" s="33">
        <f>1/(1+inp_ma_wacc)^F$5</f>
        <v/>
      </c>
      <c r="G16" s="33">
        <f>1/(1+inp_ma_wacc)^G$5</f>
        <v/>
      </c>
    </row>
    <row r="18">
      <c r="A18" s="13" t="inlineStr">
        <is>
          <t>A. Value creation (net present value at the base WACC)</t>
        </is>
      </c>
      <c r="B18" s="14" t="n"/>
      <c r="C18" s="14" t="n"/>
      <c r="D18" s="14" t="n"/>
      <c r="E18" s="14" t="n"/>
      <c r="F18" s="14" t="n"/>
      <c r="G18" s="14" t="n"/>
    </row>
    <row r="19">
      <c r="A19" s="5" t="inlineStr">
        <is>
          <t>Vaultline standalone value (DCF enterprise value, base case)</t>
        </is>
      </c>
      <c r="C19" s="19">
        <f>MA_Valuation!$D$24</f>
        <v/>
      </c>
    </row>
    <row r="20">
      <c r="A20" s="5" t="inlineStr">
        <is>
          <t>Present value of net synergies at 100% of plan (incl. terminal value)</t>
        </is>
      </c>
      <c r="C20" s="36">
        <f>SUMPRODUCT(C10:G10,C16:G16)+G10*(1+inp_ma_tg)/(inp_ma_wacc-inp_ma_tg)*G16</f>
        <v/>
      </c>
    </row>
    <row r="21">
      <c r="A21" s="5" t="inlineStr">
        <is>
          <t>Present value of synergies at the achieved %</t>
        </is>
      </c>
      <c r="C21" s="36">
        <f>inp_ma_syn_achieved*C20</f>
        <v/>
      </c>
    </row>
    <row r="22">
      <c r="A22" s="5" t="inlineStr">
        <is>
          <t>Present value of integration costs (after tax)</t>
        </is>
      </c>
      <c r="C22" s="36">
        <f>SUMPRODUCT(C11:G11,C16:G16)</f>
        <v/>
      </c>
    </row>
    <row r="23">
      <c r="A23" s="5" t="inlineStr">
        <is>
          <t>Enterprise value paid</t>
        </is>
      </c>
      <c r="C23" s="19">
        <f>MA_PPA!$C$8</f>
        <v/>
      </c>
    </row>
    <row r="24">
      <c r="A24" s="5" t="inlineStr">
        <is>
          <t>Transaction costs</t>
        </is>
      </c>
      <c r="C24" s="19">
        <f>MA_PPA!$C$13</f>
        <v/>
      </c>
    </row>
    <row r="25">
      <c r="A25" s="3" t="inlineStr">
        <is>
          <t>Value created (NPV)</t>
        </is>
      </c>
      <c r="C25" s="42">
        <f>C19+C21-C22-C23-C24</f>
        <v/>
      </c>
    </row>
    <row r="26">
      <c r="A26" s="3" t="inlineStr">
        <is>
          <t>Verdict</t>
        </is>
      </c>
      <c r="C26" s="57">
        <f>IF(C25&gt;0,"Creates value","Destroys value")</f>
        <v/>
      </c>
    </row>
    <row r="27">
      <c r="A27" s="5" t="inlineStr">
        <is>
          <t>Premium paid over standalone DCF value</t>
        </is>
      </c>
      <c r="C27" s="36">
        <f>C23-C19</f>
        <v/>
      </c>
      <c r="D27" s="2" t="inlineStr">
        <is>
          <t>The price of control: synergies must justify at least this</t>
        </is>
      </c>
    </row>
    <row r="28">
      <c r="A28" s="3" t="inlineStr">
        <is>
          <t>Synergies needed to break even (% of plan)</t>
        </is>
      </c>
      <c r="C28" s="44">
        <f>(C23+C24+C22-C19)/C20</f>
        <v/>
      </c>
      <c r="D28" s="2" t="inlineStr">
        <is>
          <t>Compare with synergies achieved (inp_ma_syn_achieved)</t>
        </is>
      </c>
    </row>
    <row r="30">
      <c r="A30" s="13" t="inlineStr">
        <is>
          <t>B. Payback (undiscounted, 5 years)</t>
        </is>
      </c>
      <c r="B30" s="14" t="n"/>
      <c r="C30" s="14" t="n"/>
      <c r="D30" s="14" t="n"/>
      <c r="E30" s="14" t="n"/>
      <c r="F30" s="14" t="n"/>
      <c r="G30" s="14" t="n"/>
    </row>
    <row r="31">
      <c r="A31" s="5" t="inlineStr">
        <is>
          <t>Cash to recover: enterprise value + transaction costs</t>
        </is>
      </c>
      <c r="C31" s="36">
        <f>C23+C24</f>
        <v/>
      </c>
    </row>
    <row r="32">
      <c r="A32" s="5" t="inlineStr">
        <is>
          <t>First year in which cumulative cash flow reaches the hurdle</t>
        </is>
      </c>
      <c r="C32" s="10">
        <f>COUNTIF(C14:G14,"&lt;"&amp;C31)+1</f>
        <v/>
      </c>
    </row>
    <row r="33">
      <c r="A33" s="3" t="inlineStr">
        <is>
          <t>Payback (years)</t>
        </is>
      </c>
      <c r="C33" s="43">
        <f>IF(C32&gt;COUNT(C5:G5),"&gt;5 years",C32-1+(C31-INDEX(C15:G15,1,C32))/INDEX(C13:G13,1,C32))</f>
        <v/>
      </c>
    </row>
    <row r="35">
      <c r="A35" s="13" t="inlineStr">
        <is>
          <t>C. ARR accretion (live pro-forma vs Northgate standalone)</t>
        </is>
      </c>
      <c r="B35" s="14" t="n"/>
      <c r="C35" s="14" t="n"/>
      <c r="D35" s="14" t="n"/>
      <c r="E35" s="14" t="n"/>
      <c r="F35" s="14" t="n"/>
      <c r="G35" s="14" t="n"/>
    </row>
    <row r="36">
      <c r="A36" s="5" t="inlineStr">
        <is>
          <t>Northgate standalone ARR, month 24</t>
        </is>
      </c>
      <c r="C36" s="19">
        <f>SaaS_Metrics!AL13</f>
        <v/>
      </c>
    </row>
    <row r="37">
      <c r="A37" s="5" t="inlineStr">
        <is>
          <t>Pro-forma ARR, month 24</t>
        </is>
      </c>
      <c r="C37" s="19">
        <f>MA_ProForma!AL94</f>
        <v/>
      </c>
    </row>
    <row r="38">
      <c r="A38" s="3" t="inlineStr">
        <is>
          <t>ARR accretion</t>
        </is>
      </c>
      <c r="C38" s="44">
        <f>C37/C36-1</f>
        <v/>
      </c>
    </row>
    <row r="39">
      <c r="A39" s="5" t="inlineStr">
        <is>
          <t>Northgate standalone ARR growth, month 12</t>
        </is>
      </c>
      <c r="C39" s="17">
        <f>SaaS_Metrics!Z16</f>
        <v/>
      </c>
    </row>
    <row r="40">
      <c r="A40" s="5" t="inlineStr">
        <is>
          <t>Pro-forma ARR growth, month 12</t>
        </is>
      </c>
      <c r="C40" s="17">
        <f>MA_ProForma!Z96</f>
        <v/>
      </c>
    </row>
    <row r="41">
      <c r="A41" s="5" t="inlineStr">
        <is>
          <t>Northgate standalone NRR, month 12</t>
        </is>
      </c>
      <c r="C41" s="17">
        <f>SaaS_Metrics!Z19</f>
        <v/>
      </c>
    </row>
    <row r="42">
      <c r="A42" s="5" t="inlineStr">
        <is>
          <t>Pro-forma NRR, month 12</t>
        </is>
      </c>
      <c r="C42" s="17">
        <f>MA_ProForma!Z97</f>
        <v/>
      </c>
    </row>
    <row r="43">
      <c r="A43" s="5" t="inlineStr">
        <is>
          <t>Northgate standalone Rule of 40, month 24</t>
        </is>
      </c>
      <c r="C43" s="17">
        <f>SaaS_Metrics!AL39</f>
        <v/>
      </c>
    </row>
    <row r="44">
      <c r="A44" s="5" t="inlineStr">
        <is>
          <t>Pro-forma Rule of 40, month 24</t>
        </is>
      </c>
      <c r="C44" s="17">
        <f>MA_ProForma!AL99</f>
        <v/>
      </c>
    </row>
    <row r="46">
      <c r="A46" s="13" t="inlineStr">
        <is>
          <t>D. Cash runway impact</t>
        </is>
      </c>
      <c r="B46" s="14" t="n"/>
      <c r="C46" s="14" t="n"/>
      <c r="D46" s="14" t="n"/>
      <c r="E46" s="14" t="n"/>
      <c r="F46" s="14" t="n"/>
      <c r="G46" s="14" t="n"/>
    </row>
    <row r="47">
      <c r="A47" s="5" t="inlineStr">
        <is>
          <t>Northgate cash used at closing</t>
        </is>
      </c>
      <c r="C47" s="19">
        <f>MA_PPA!$C$12</f>
        <v/>
      </c>
    </row>
    <row r="48">
      <c r="A48" s="5" t="inlineStr">
        <is>
          <t>Lowest month-end cash, standalone</t>
        </is>
      </c>
      <c r="C48" s="19">
        <f>Sensitivity!B4</f>
        <v/>
      </c>
    </row>
    <row r="49">
      <c r="A49" s="3" t="inlineStr">
        <is>
          <t>Lowest month-end cash, pro-forma</t>
        </is>
      </c>
      <c r="C49" s="42">
        <f>MIN(MA_ProForma!$N$74:$AL$74)</f>
        <v/>
      </c>
    </row>
    <row r="50">
      <c r="A50" s="5" t="inlineStr">
        <is>
          <t>Cash, month 24, standalone</t>
        </is>
      </c>
      <c r="C50" s="19">
        <f>BS!AL9</f>
        <v/>
      </c>
    </row>
    <row r="51">
      <c r="A51" s="5" t="inlineStr">
        <is>
          <t>Cash, month 24, pro-forma</t>
        </is>
      </c>
      <c r="C51" s="19">
        <f>MA_ProForma!AL74</f>
        <v/>
      </c>
    </row>
    <row r="52">
      <c r="A52" s="5" t="inlineStr">
        <is>
          <t>Pro-forma cash runway at month 24 (months)</t>
        </is>
      </c>
      <c r="C52" s="60">
        <f>MA_ProForma!AL102</f>
        <v/>
      </c>
    </row>
    <row r="53">
      <c r="A53" s="5" t="inlineStr">
        <is>
          <t>Thin-headroom threshold (lowest cash as % of cash used at closing)</t>
        </is>
      </c>
      <c r="C53" s="24" t="n">
        <v>0.25</v>
      </c>
    </row>
    <row r="54">
      <c r="A54" s="3" t="inlineStr">
        <is>
          <t>Funding flag</t>
        </is>
      </c>
      <c r="C54" s="57">
        <f>IF(C49&lt;0,"FLAG: cash goes negative",IF(C49&lt;C47*C53,"WATCH: thin headroom","OK"))</f>
        <v/>
      </c>
    </row>
    <row r="56">
      <c r="A56" s="13" t="inlineStr">
        <is>
          <t>E. Deal outcome by scenario (engine-run snapshots; the Downside case lowers Vaultline growth, raises its churn and cuts synergies)</t>
        </is>
      </c>
      <c r="B56" s="14" t="n"/>
      <c r="C56" s="14" t="n"/>
      <c r="D56" s="14" t="n"/>
      <c r="E56" s="14" t="n"/>
      <c r="F56" s="14" t="n"/>
      <c r="G56" s="14" t="n"/>
    </row>
    <row r="57">
      <c r="A57" s="11" t="inlineStr">
        <is>
          <t>Metric</t>
        </is>
      </c>
      <c r="B57" s="12" t="inlineStr"/>
      <c r="C57" s="12" t="inlineStr">
        <is>
          <t>Base</t>
        </is>
      </c>
      <c r="D57" s="12" t="inlineStr">
        <is>
          <t>Upside</t>
        </is>
      </c>
      <c r="E57" s="12" t="inlineStr">
        <is>
          <t>Downside</t>
        </is>
      </c>
    </row>
    <row r="58">
      <c r="A58" s="5" t="inlineStr">
        <is>
          <t>Deal value created (NPV)</t>
        </is>
      </c>
      <c r="C58" s="58" t="n">
        <v>7332.791679635993</v>
      </c>
      <c r="D58" s="58" t="n">
        <v>16826.55080166241</v>
      </c>
      <c r="E58" s="58" t="n">
        <v>-12591.84087303226</v>
      </c>
    </row>
    <row r="59">
      <c r="A59" s="5" t="inlineStr">
        <is>
          <t>Pro-forma ARR, month 24</t>
        </is>
      </c>
      <c r="C59" s="58" t="n">
        <v>76704.9049518606</v>
      </c>
      <c r="D59" s="58" t="n">
        <v>89930.52489081104</v>
      </c>
      <c r="E59" s="58" t="n">
        <v>56496.17825181301</v>
      </c>
    </row>
    <row r="60">
      <c r="A60" s="5" t="inlineStr">
        <is>
          <t>Pro-forma cash, month 24</t>
        </is>
      </c>
      <c r="C60" s="58" t="n">
        <v>8913.328274660522</v>
      </c>
      <c r="D60" s="58" t="n">
        <v>19125.33605361708</v>
      </c>
      <c r="E60" s="58" t="n">
        <v>-6226.307103575623</v>
      </c>
    </row>
    <row r="61">
      <c r="A61" s="5" t="inlineStr">
        <is>
          <t>Pro-forma lowest month-end cash</t>
        </is>
      </c>
      <c r="C61" s="58" t="n">
        <v>6024.437011732435</v>
      </c>
      <c r="D61" s="58" t="n">
        <v>9820.607440689544</v>
      </c>
      <c r="E61" s="58" t="n">
        <v>-6226.307103575623</v>
      </c>
    </row>
    <row r="62">
      <c r="A62" s="3" t="inlineStr">
        <is>
          <t>Verdict</t>
        </is>
      </c>
      <c r="C62" s="57">
        <f>IF(C58&gt;0,"Creates value","Destroys value")</f>
        <v/>
      </c>
      <c r="D62" s="57">
        <f>IF(D58&gt;0,"Creates value","Destroys value")</f>
        <v/>
      </c>
      <c r="E62" s="57">
        <f>IF(E58&gt;0,"Creates value","Destroys value")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48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8" t="inlineStr">
        <is>
          <t>Outputs_Web - flat contract between the workbook and the website</t>
        </is>
      </c>
    </row>
    <row r="2">
      <c r="A2" s="2" t="inlineStr">
        <is>
          <t>Everything here is a link (green) to a calculation or output tab. The website reads only the named ranges defined on this tab (out_*) and writes only to the named inputs (inp_*). Series ranges run from the opening balance (column D) through 24 months (E:AB) to FY1 and FY2 (AC:AD).</t>
        </is>
      </c>
    </row>
    <row r="4">
      <c r="A4" s="13" t="inlineStr">
        <is>
          <t>A. Scalar outputs (one cell each; name in column A)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1" t="inlineStr">
        <is>
          <t>Name</t>
        </is>
      </c>
      <c r="B5" s="12" t="inlineStr">
        <is>
          <t>Label</t>
        </is>
      </c>
      <c r="C5" s="12" t="inlineStr">
        <is>
          <t>Unit</t>
        </is>
      </c>
      <c r="D5" s="12" t="inlineStr">
        <is>
          <t>Value</t>
        </is>
      </c>
    </row>
    <row r="6">
      <c r="A6" s="5" t="inlineStr">
        <is>
          <t>out_rev_fy1</t>
        </is>
      </c>
      <c r="B6" s="5" t="inlineStr">
        <is>
          <t>FY1 revenue</t>
        </is>
      </c>
      <c r="C6" s="2" t="inlineStr">
        <is>
          <t>num</t>
        </is>
      </c>
      <c r="D6" s="19">
        <f>IS!AN12</f>
        <v/>
      </c>
    </row>
    <row r="7">
      <c r="A7" s="5" t="inlineStr">
        <is>
          <t>out_rev_fy2</t>
        </is>
      </c>
      <c r="B7" s="5" t="inlineStr">
        <is>
          <t>FY2 revenue</t>
        </is>
      </c>
      <c r="C7" s="2" t="inlineStr">
        <is>
          <t>num</t>
        </is>
      </c>
      <c r="D7" s="19">
        <f>IS!AO12</f>
        <v/>
      </c>
    </row>
    <row r="8">
      <c r="A8" s="5" t="inlineStr">
        <is>
          <t>out_ebitda_fy1</t>
        </is>
      </c>
      <c r="B8" s="5" t="inlineStr">
        <is>
          <t>FY1 EBITDA</t>
        </is>
      </c>
      <c r="C8" s="2" t="inlineStr">
        <is>
          <t>num</t>
        </is>
      </c>
      <c r="D8" s="19">
        <f>IS!AN29</f>
        <v/>
      </c>
    </row>
    <row r="9">
      <c r="A9" s="5" t="inlineStr">
        <is>
          <t>out_ebitda_fy2</t>
        </is>
      </c>
      <c r="B9" s="5" t="inlineStr">
        <is>
          <t>FY2 EBITDA</t>
        </is>
      </c>
      <c r="C9" s="2" t="inlineStr">
        <is>
          <t>num</t>
        </is>
      </c>
      <c r="D9" s="19">
        <f>IS!AO29</f>
        <v/>
      </c>
    </row>
    <row r="10">
      <c r="A10" s="5" t="inlineStr">
        <is>
          <t>out_arr12</t>
        </is>
      </c>
      <c r="B10" s="5" t="inlineStr">
        <is>
          <t>ARR, month 12</t>
        </is>
      </c>
      <c r="C10" s="2" t="inlineStr">
        <is>
          <t>num</t>
        </is>
      </c>
      <c r="D10" s="19">
        <f>SaaS_Metrics!Z13</f>
        <v/>
      </c>
    </row>
    <row r="11">
      <c r="A11" s="5" t="inlineStr">
        <is>
          <t>out_arr24</t>
        </is>
      </c>
      <c r="B11" s="5" t="inlineStr">
        <is>
          <t>ARR, month 24</t>
        </is>
      </c>
      <c r="C11" s="2" t="inlineStr">
        <is>
          <t>num</t>
        </is>
      </c>
      <c r="D11" s="19">
        <f>SaaS_Metrics!AL13</f>
        <v/>
      </c>
    </row>
    <row r="12">
      <c r="A12" s="5" t="inlineStr">
        <is>
          <t>out_growth12</t>
        </is>
      </c>
      <c r="B12" s="5" t="inlineStr">
        <is>
          <t>ARR growth, month 12</t>
        </is>
      </c>
      <c r="C12" s="2" t="inlineStr">
        <is>
          <t>pct</t>
        </is>
      </c>
      <c r="D12" s="17">
        <f>SaaS_Metrics!Z16</f>
        <v/>
      </c>
    </row>
    <row r="13">
      <c r="A13" s="5" t="inlineStr">
        <is>
          <t>out_nrr12</t>
        </is>
      </c>
      <c r="B13" s="5" t="inlineStr">
        <is>
          <t>NRR (annualised), month 12</t>
        </is>
      </c>
      <c r="C13" s="2" t="inlineStr">
        <is>
          <t>pct</t>
        </is>
      </c>
      <c r="D13" s="17">
        <f>SaaS_Metrics!Z19</f>
        <v/>
      </c>
    </row>
    <row r="14">
      <c r="A14" s="5" t="inlineStr">
        <is>
          <t>out_grr12</t>
        </is>
      </c>
      <c r="B14" s="5" t="inlineStr">
        <is>
          <t>GRR (annualised), month 12</t>
        </is>
      </c>
      <c r="C14" s="2" t="inlineStr">
        <is>
          <t>pct</t>
        </is>
      </c>
      <c r="D14" s="17">
        <f>SaaS_Metrics!Z20</f>
        <v/>
      </c>
    </row>
    <row r="15">
      <c r="A15" s="5" t="inlineStr">
        <is>
          <t>out_payback12</t>
        </is>
      </c>
      <c r="B15" s="5" t="inlineStr">
        <is>
          <t>CAC payback (months), month 12</t>
        </is>
      </c>
      <c r="C15" s="2" t="inlineStr">
        <is>
          <t>mo</t>
        </is>
      </c>
      <c r="D15" s="60">
        <f>SaaS_Metrics!Z28</f>
        <v/>
      </c>
    </row>
    <row r="16">
      <c r="A16" s="5" t="inlineStr">
        <is>
          <t>out_ltvcac12</t>
        </is>
      </c>
      <c r="B16" s="5" t="inlineStr">
        <is>
          <t>LTV / CAC, month 12</t>
        </is>
      </c>
      <c r="C16" s="2" t="inlineStr">
        <is>
          <t>x</t>
        </is>
      </c>
      <c r="D16" s="63">
        <f>SaaS_Metrics!Z31</f>
        <v/>
      </c>
    </row>
    <row r="17">
      <c r="A17" s="5" t="inlineStr">
        <is>
          <t>out_cash24</t>
        </is>
      </c>
      <c r="B17" s="5" t="inlineStr">
        <is>
          <t>Cash, month 24</t>
        </is>
      </c>
      <c r="C17" s="2" t="inlineStr">
        <is>
          <t>num</t>
        </is>
      </c>
      <c r="D17" s="19">
        <f>BS!AL9</f>
        <v/>
      </c>
    </row>
    <row r="18">
      <c r="A18" s="5" t="inlineStr">
        <is>
          <t>out_mincash</t>
        </is>
      </c>
      <c r="B18" s="5" t="inlineStr">
        <is>
          <t>Lowest month-end cash</t>
        </is>
      </c>
      <c r="C18" s="2" t="inlineStr">
        <is>
          <t>num</t>
        </is>
      </c>
      <c r="D18" s="19">
        <f>Sensitivity!B4</f>
        <v/>
      </c>
    </row>
    <row r="19">
      <c r="A19" s="5" t="inlineStr">
        <is>
          <t>out_fte24</t>
        </is>
      </c>
      <c r="B19" s="5" t="inlineStr">
        <is>
          <t>Headcount (FTE), month 24</t>
        </is>
      </c>
      <c r="C19" s="2" t="inlineStr">
        <is>
          <t>num</t>
        </is>
      </c>
      <c r="D19" s="19">
        <f>Headcount_Opex!AL33</f>
        <v/>
      </c>
    </row>
    <row r="20">
      <c r="A20" s="5" t="inlineStr">
        <is>
          <t>out_rule40_24</t>
        </is>
      </c>
      <c r="B20" s="5" t="inlineStr">
        <is>
          <t>Rule of 40, month 24</t>
        </is>
      </c>
      <c r="C20" s="2" t="inlineStr">
        <is>
          <t>pct</t>
        </is>
      </c>
      <c r="D20" s="17">
        <f>SaaS_Metrics!AL39</f>
        <v/>
      </c>
    </row>
    <row r="21">
      <c r="A21" s="5" t="inlineStr">
        <is>
          <t>out_ma_value</t>
        </is>
      </c>
      <c r="B21" s="5" t="inlineStr">
        <is>
          <t>Deal value created (NPV)</t>
        </is>
      </c>
      <c r="C21" s="2" t="inlineStr">
        <is>
          <t>num</t>
        </is>
      </c>
      <c r="D21" s="19">
        <f>MA_Returns!C25</f>
        <v/>
      </c>
    </row>
    <row r="22">
      <c r="A22" s="5" t="inlineStr">
        <is>
          <t>out_pf_arr24</t>
        </is>
      </c>
      <c r="B22" s="5" t="inlineStr">
        <is>
          <t>Pro-forma ARR, month 24</t>
        </is>
      </c>
      <c r="C22" s="2" t="inlineStr">
        <is>
          <t>num</t>
        </is>
      </c>
      <c r="D22" s="19">
        <f>MA_ProForma!AL94</f>
        <v/>
      </c>
    </row>
    <row r="23">
      <c r="A23" s="5" t="inlineStr">
        <is>
          <t>out_pf_cash24</t>
        </is>
      </c>
      <c r="B23" s="5" t="inlineStr">
        <is>
          <t>Pro-forma cash, month 24</t>
        </is>
      </c>
      <c r="C23" s="2" t="inlineStr">
        <is>
          <t>num</t>
        </is>
      </c>
      <c r="D23" s="19">
        <f>MA_ProForma!AL74</f>
        <v/>
      </c>
    </row>
    <row r="24">
      <c r="A24" s="5" t="inlineStr">
        <is>
          <t>out_pf_mincash</t>
        </is>
      </c>
      <c r="B24" s="5" t="inlineStr">
        <is>
          <t>Pro-forma lowest month-end cash</t>
        </is>
      </c>
      <c r="C24" s="2" t="inlineStr">
        <is>
          <t>num</t>
        </is>
      </c>
      <c r="D24" s="19">
        <f>MA_Returns!C49</f>
        <v/>
      </c>
    </row>
    <row r="25">
      <c r="A25" s="5" t="inlineStr">
        <is>
          <t>out_master_check</t>
        </is>
      </c>
      <c r="B25" s="5" t="inlineStr">
        <is>
          <t>Master check (1 = all pass)</t>
        </is>
      </c>
      <c r="C25" s="2" t="inlineStr">
        <is>
          <t>int</t>
        </is>
      </c>
      <c r="D25" s="10">
        <f>chk_master</f>
        <v/>
      </c>
    </row>
    <row r="26">
      <c r="A26" s="5" t="inlineStr">
        <is>
          <t>out_warnings</t>
        </is>
      </c>
      <c r="B26" s="5" t="inlineStr">
        <is>
          <t>Outlier warnings (series flagged)</t>
        </is>
      </c>
      <c r="C26" s="2" t="inlineStr">
        <is>
          <t>int</t>
        </is>
      </c>
      <c r="D26" s="10">
        <f>chk_warnings</f>
        <v/>
      </c>
    </row>
    <row r="27">
      <c r="A27" s="5" t="inlineStr">
        <is>
          <t>out_scenario</t>
        </is>
      </c>
      <c r="B27" s="5" t="inlineStr">
        <is>
          <t>Live scenario</t>
        </is>
      </c>
      <c r="C27" s="2" t="inlineStr">
        <is>
          <t>text</t>
        </is>
      </c>
      <c r="D27" s="5">
        <f>inp_scenario</f>
        <v/>
      </c>
    </row>
    <row r="28">
      <c r="A28" s="5" t="inlineStr">
        <is>
          <t>out_goodwill_ifrs</t>
        </is>
      </c>
      <c r="B28" s="5" t="inlineStr">
        <is>
          <t>Goodwill, IFRS 3</t>
        </is>
      </c>
      <c r="C28" s="2" t="inlineStr">
        <is>
          <t>num</t>
        </is>
      </c>
      <c r="D28" s="19">
        <f>MA_PPA!C31</f>
        <v/>
      </c>
    </row>
    <row r="29">
      <c r="A29" s="5" t="inlineStr">
        <is>
          <t>out_goodwill_usgaap</t>
        </is>
      </c>
      <c r="B29" s="5" t="inlineStr">
        <is>
          <t>Goodwill, US GAAP (ASU 2021-08)</t>
        </is>
      </c>
      <c r="C29" s="2" t="inlineStr">
        <is>
          <t>num</t>
        </is>
      </c>
      <c r="D29" s="19">
        <f>MA_PPA!D31</f>
        <v/>
      </c>
    </row>
    <row r="30">
      <c r="A30" s="5" t="inlineStr">
        <is>
          <t>out_ma_ev</t>
        </is>
      </c>
      <c r="B30" s="5" t="inlineStr">
        <is>
          <t>Offer enterprise value</t>
        </is>
      </c>
      <c r="C30" s="2" t="inlineStr">
        <is>
          <t>num</t>
        </is>
      </c>
      <c r="D30" s="19">
        <f>MA_PPA!$C$8</f>
        <v/>
      </c>
    </row>
    <row r="31">
      <c r="A31" s="5" t="inlineStr">
        <is>
          <t>out_ma_price</t>
        </is>
      </c>
      <c r="B31" s="5" t="inlineStr">
        <is>
          <t>Equity purchase price</t>
        </is>
      </c>
      <c r="C31" s="2" t="inlineStr">
        <is>
          <t>num</t>
        </is>
      </c>
      <c r="D31" s="19">
        <f>MA_PPA!$C$10</f>
        <v/>
      </c>
    </row>
    <row r="32">
      <c r="A32" s="5" t="inlineStr">
        <is>
          <t>out_ma_verdict</t>
        </is>
      </c>
      <c r="B32" s="5" t="inlineStr">
        <is>
          <t>Deal verdict</t>
        </is>
      </c>
      <c r="C32" s="2" t="inlineStr">
        <is>
          <t>text</t>
        </is>
      </c>
      <c r="D32" s="7">
        <f>MA_Returns!C26</f>
        <v/>
      </c>
    </row>
    <row r="33">
      <c r="A33" s="5" t="inlineStr">
        <is>
          <t>out_ma_breakeven</t>
        </is>
      </c>
      <c r="B33" s="5" t="inlineStr">
        <is>
          <t>Synergies needed to break even (% of plan)</t>
        </is>
      </c>
      <c r="C33" s="2" t="inlineStr">
        <is>
          <t>pct</t>
        </is>
      </c>
      <c r="D33" s="17">
        <f>MA_Returns!C28</f>
        <v/>
      </c>
    </row>
    <row r="34">
      <c r="A34" s="5" t="inlineStr">
        <is>
          <t>out_ma_payback</t>
        </is>
      </c>
      <c r="B34" s="5" t="inlineStr">
        <is>
          <t>Deal payback (years)</t>
        </is>
      </c>
      <c r="C34" s="2" t="inlineStr">
        <is>
          <t>num1</t>
        </is>
      </c>
      <c r="D34" s="15">
        <f>MA_Returns!C33</f>
        <v/>
      </c>
    </row>
    <row r="35">
      <c r="A35" s="5" t="inlineStr">
        <is>
          <t>out_ma_premium</t>
        </is>
      </c>
      <c r="B35" s="5" t="inlineStr">
        <is>
          <t>Premium over standalone DCF</t>
        </is>
      </c>
      <c r="C35" s="2" t="inlineStr">
        <is>
          <t>num</t>
        </is>
      </c>
      <c r="D35" s="19">
        <f>MA_Returns!C27</f>
        <v/>
      </c>
    </row>
    <row r="36">
      <c r="A36" s="5" t="inlineStr">
        <is>
          <t>out_ma_accretion</t>
        </is>
      </c>
      <c r="B36" s="5" t="inlineStr">
        <is>
          <t>ARR accretion, month 24</t>
        </is>
      </c>
      <c r="C36" s="2" t="inlineStr">
        <is>
          <t>pct</t>
        </is>
      </c>
      <c r="D36" s="17">
        <f>MA_Returns!C38</f>
        <v/>
      </c>
    </row>
    <row r="37">
      <c r="A37" s="5" t="inlineStr">
        <is>
          <t>out_ma_funding_flag</t>
        </is>
      </c>
      <c r="B37" s="5" t="inlineStr">
        <is>
          <t>Funding flag</t>
        </is>
      </c>
      <c r="C37" s="2" t="inlineStr">
        <is>
          <t>text</t>
        </is>
      </c>
      <c r="D37" s="7">
        <f>MA_Returns!C54</f>
        <v/>
      </c>
    </row>
    <row r="38">
      <c r="A38" s="5" t="inlineStr">
        <is>
          <t>out_ma_dcf_ev</t>
        </is>
      </c>
      <c r="B38" s="5" t="inlineStr">
        <is>
          <t>Vaultline standalone DCF EV</t>
        </is>
      </c>
      <c r="C38" s="2" t="inlineStr">
        <is>
          <t>num</t>
        </is>
      </c>
      <c r="D38" s="19">
        <f>MA_Valuation!$D$24</f>
        <v/>
      </c>
    </row>
    <row r="40">
      <c r="A40" s="13" t="inlineStr">
        <is>
          <t>B. Monthly series (opening, months 1-24, FY1, FY2)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</row>
    <row r="41">
      <c r="A41" s="11" t="inlineStr">
        <is>
          <t>Name</t>
        </is>
      </c>
      <c r="B41" s="12" t="inlineStr">
        <is>
          <t>Label</t>
        </is>
      </c>
      <c r="C41" s="12" t="inlineStr">
        <is>
          <t>Unit</t>
        </is>
      </c>
      <c r="D41" s="12" t="inlineStr">
        <is>
          <t>Opening</t>
        </is>
      </c>
      <c r="E41" s="32">
        <f>Rev_Build!O4</f>
        <v/>
      </c>
      <c r="F41" s="32">
        <f>Rev_Build!P4</f>
        <v/>
      </c>
      <c r="G41" s="32">
        <f>Rev_Build!Q4</f>
        <v/>
      </c>
      <c r="H41" s="32">
        <f>Rev_Build!R4</f>
        <v/>
      </c>
      <c r="I41" s="32">
        <f>Rev_Build!S4</f>
        <v/>
      </c>
      <c r="J41" s="32">
        <f>Rev_Build!T4</f>
        <v/>
      </c>
      <c r="K41" s="32">
        <f>Rev_Build!U4</f>
        <v/>
      </c>
      <c r="L41" s="32">
        <f>Rev_Build!V4</f>
        <v/>
      </c>
      <c r="M41" s="32">
        <f>Rev_Build!W4</f>
        <v/>
      </c>
      <c r="N41" s="32">
        <f>Rev_Build!X4</f>
        <v/>
      </c>
      <c r="O41" s="32">
        <f>Rev_Build!Y4</f>
        <v/>
      </c>
      <c r="P41" s="32">
        <f>Rev_Build!Z4</f>
        <v/>
      </c>
      <c r="Q41" s="32">
        <f>Rev_Build!AA4</f>
        <v/>
      </c>
      <c r="R41" s="32">
        <f>Rev_Build!AB4</f>
        <v/>
      </c>
      <c r="S41" s="32">
        <f>Rev_Build!AC4</f>
        <v/>
      </c>
      <c r="T41" s="32">
        <f>Rev_Build!AD4</f>
        <v/>
      </c>
      <c r="U41" s="32">
        <f>Rev_Build!AE4</f>
        <v/>
      </c>
      <c r="V41" s="32">
        <f>Rev_Build!AF4</f>
        <v/>
      </c>
      <c r="W41" s="32">
        <f>Rev_Build!AG4</f>
        <v/>
      </c>
      <c r="X41" s="32">
        <f>Rev_Build!AH4</f>
        <v/>
      </c>
      <c r="Y41" s="32">
        <f>Rev_Build!AI4</f>
        <v/>
      </c>
      <c r="Z41" s="32">
        <f>Rev_Build!AJ4</f>
        <v/>
      </c>
      <c r="AA41" s="32">
        <f>Rev_Build!AK4</f>
        <v/>
      </c>
      <c r="AB41" s="32">
        <f>Rev_Build!AL4</f>
        <v/>
      </c>
      <c r="AC41" s="12" t="inlineStr">
        <is>
          <t>FY1</t>
        </is>
      </c>
      <c r="AD41" s="12" t="inlineStr">
        <is>
          <t>FY2</t>
        </is>
      </c>
    </row>
    <row r="42">
      <c r="A42" s="5" t="inlineStr">
        <is>
          <t>out_t</t>
        </is>
      </c>
      <c r="B42" s="5" t="inlineStr">
        <is>
          <t>Period number</t>
        </is>
      </c>
      <c r="D42" s="74">
        <f>Rev_Build!N3</f>
        <v/>
      </c>
      <c r="E42" s="74">
        <f>Rev_Build!O3</f>
        <v/>
      </c>
      <c r="F42" s="74">
        <f>Rev_Build!P3</f>
        <v/>
      </c>
      <c r="G42" s="74">
        <f>Rev_Build!Q3</f>
        <v/>
      </c>
      <c r="H42" s="74">
        <f>Rev_Build!R3</f>
        <v/>
      </c>
      <c r="I42" s="74">
        <f>Rev_Build!S3</f>
        <v/>
      </c>
      <c r="J42" s="74">
        <f>Rev_Build!T3</f>
        <v/>
      </c>
      <c r="K42" s="74">
        <f>Rev_Build!U3</f>
        <v/>
      </c>
      <c r="L42" s="74">
        <f>Rev_Build!V3</f>
        <v/>
      </c>
      <c r="M42" s="74">
        <f>Rev_Build!W3</f>
        <v/>
      </c>
      <c r="N42" s="74">
        <f>Rev_Build!X3</f>
        <v/>
      </c>
      <c r="O42" s="74">
        <f>Rev_Build!Y3</f>
        <v/>
      </c>
      <c r="P42" s="74">
        <f>Rev_Build!Z3</f>
        <v/>
      </c>
      <c r="Q42" s="74">
        <f>Rev_Build!AA3</f>
        <v/>
      </c>
      <c r="R42" s="74">
        <f>Rev_Build!AB3</f>
        <v/>
      </c>
      <c r="S42" s="74">
        <f>Rev_Build!AC3</f>
        <v/>
      </c>
      <c r="T42" s="74">
        <f>Rev_Build!AD3</f>
        <v/>
      </c>
      <c r="U42" s="74">
        <f>Rev_Build!AE3</f>
        <v/>
      </c>
      <c r="V42" s="74">
        <f>Rev_Build!AF3</f>
        <v/>
      </c>
      <c r="W42" s="74">
        <f>Rev_Build!AG3</f>
        <v/>
      </c>
      <c r="X42" s="74">
        <f>Rev_Build!AH3</f>
        <v/>
      </c>
      <c r="Y42" s="74">
        <f>Rev_Build!AI3</f>
        <v/>
      </c>
      <c r="Z42" s="74">
        <f>Rev_Build!AJ3</f>
        <v/>
      </c>
      <c r="AA42" s="74">
        <f>Rev_Build!AK3</f>
        <v/>
      </c>
      <c r="AB42" s="74">
        <f>Rev_Build!AL3</f>
        <v/>
      </c>
    </row>
    <row r="43">
      <c r="A43" s="5" t="inlineStr">
        <is>
          <t>out_period_end</t>
        </is>
      </c>
      <c r="B43" s="5" t="inlineStr">
        <is>
          <t>Period end date</t>
        </is>
      </c>
      <c r="D43" s="75">
        <f>Rev_Build!N4</f>
        <v/>
      </c>
      <c r="E43" s="75">
        <f>Rev_Build!O4</f>
        <v/>
      </c>
      <c r="F43" s="75">
        <f>Rev_Build!P4</f>
        <v/>
      </c>
      <c r="G43" s="75">
        <f>Rev_Build!Q4</f>
        <v/>
      </c>
      <c r="H43" s="75">
        <f>Rev_Build!R4</f>
        <v/>
      </c>
      <c r="I43" s="75">
        <f>Rev_Build!S4</f>
        <v/>
      </c>
      <c r="J43" s="75">
        <f>Rev_Build!T4</f>
        <v/>
      </c>
      <c r="K43" s="75">
        <f>Rev_Build!U4</f>
        <v/>
      </c>
      <c r="L43" s="75">
        <f>Rev_Build!V4</f>
        <v/>
      </c>
      <c r="M43" s="75">
        <f>Rev_Build!W4</f>
        <v/>
      </c>
      <c r="N43" s="75">
        <f>Rev_Build!X4</f>
        <v/>
      </c>
      <c r="O43" s="75">
        <f>Rev_Build!Y4</f>
        <v/>
      </c>
      <c r="P43" s="75">
        <f>Rev_Build!Z4</f>
        <v/>
      </c>
      <c r="Q43" s="75">
        <f>Rev_Build!AA4</f>
        <v/>
      </c>
      <c r="R43" s="75">
        <f>Rev_Build!AB4</f>
        <v/>
      </c>
      <c r="S43" s="75">
        <f>Rev_Build!AC4</f>
        <v/>
      </c>
      <c r="T43" s="75">
        <f>Rev_Build!AD4</f>
        <v/>
      </c>
      <c r="U43" s="75">
        <f>Rev_Build!AE4</f>
        <v/>
      </c>
      <c r="V43" s="75">
        <f>Rev_Build!AF4</f>
        <v/>
      </c>
      <c r="W43" s="75">
        <f>Rev_Build!AG4</f>
        <v/>
      </c>
      <c r="X43" s="75">
        <f>Rev_Build!AH4</f>
        <v/>
      </c>
      <c r="Y43" s="75">
        <f>Rev_Build!AI4</f>
        <v/>
      </c>
      <c r="Z43" s="75">
        <f>Rev_Build!AJ4</f>
        <v/>
      </c>
      <c r="AA43" s="75">
        <f>Rev_Build!AK4</f>
        <v/>
      </c>
      <c r="AB43" s="75">
        <f>Rev_Build!AL4</f>
        <v/>
      </c>
    </row>
    <row r="44">
      <c r="A44" s="5" t="inlineStr">
        <is>
          <t>out_year</t>
        </is>
      </c>
      <c r="B44" s="5" t="inlineStr">
        <is>
          <t>Year index</t>
        </is>
      </c>
      <c r="D44" s="74">
        <f>Rev_Build!N5</f>
        <v/>
      </c>
      <c r="E44" s="74">
        <f>Rev_Build!O5</f>
        <v/>
      </c>
      <c r="F44" s="74">
        <f>Rev_Build!P5</f>
        <v/>
      </c>
      <c r="G44" s="74">
        <f>Rev_Build!Q5</f>
        <v/>
      </c>
      <c r="H44" s="74">
        <f>Rev_Build!R5</f>
        <v/>
      </c>
      <c r="I44" s="74">
        <f>Rev_Build!S5</f>
        <v/>
      </c>
      <c r="J44" s="74">
        <f>Rev_Build!T5</f>
        <v/>
      </c>
      <c r="K44" s="74">
        <f>Rev_Build!U5</f>
        <v/>
      </c>
      <c r="L44" s="74">
        <f>Rev_Build!V5</f>
        <v/>
      </c>
      <c r="M44" s="74">
        <f>Rev_Build!W5</f>
        <v/>
      </c>
      <c r="N44" s="74">
        <f>Rev_Build!X5</f>
        <v/>
      </c>
      <c r="O44" s="74">
        <f>Rev_Build!Y5</f>
        <v/>
      </c>
      <c r="P44" s="74">
        <f>Rev_Build!Z5</f>
        <v/>
      </c>
      <c r="Q44" s="74">
        <f>Rev_Build!AA5</f>
        <v/>
      </c>
      <c r="R44" s="74">
        <f>Rev_Build!AB5</f>
        <v/>
      </c>
      <c r="S44" s="74">
        <f>Rev_Build!AC5</f>
        <v/>
      </c>
      <c r="T44" s="74">
        <f>Rev_Build!AD5</f>
        <v/>
      </c>
      <c r="U44" s="74">
        <f>Rev_Build!AE5</f>
        <v/>
      </c>
      <c r="V44" s="74">
        <f>Rev_Build!AF5</f>
        <v/>
      </c>
      <c r="W44" s="74">
        <f>Rev_Build!AG5</f>
        <v/>
      </c>
      <c r="X44" s="74">
        <f>Rev_Build!AH5</f>
        <v/>
      </c>
      <c r="Y44" s="74">
        <f>Rev_Build!AI5</f>
        <v/>
      </c>
      <c r="Z44" s="74">
        <f>Rev_Build!AJ5</f>
        <v/>
      </c>
      <c r="AA44" s="74">
        <f>Rev_Build!AK5</f>
        <v/>
      </c>
      <c r="AB44" s="74">
        <f>Rev_Build!AL5</f>
        <v/>
      </c>
    </row>
    <row r="45">
      <c r="A45" s="5" t="inlineStr">
        <is>
          <t>out_quarter</t>
        </is>
      </c>
      <c r="B45" s="5" t="inlineStr">
        <is>
          <t>Quarter index</t>
        </is>
      </c>
      <c r="D45" s="74">
        <f>Rev_Build!N6</f>
        <v/>
      </c>
      <c r="E45" s="74">
        <f>Rev_Build!O6</f>
        <v/>
      </c>
      <c r="F45" s="74">
        <f>Rev_Build!P6</f>
        <v/>
      </c>
      <c r="G45" s="74">
        <f>Rev_Build!Q6</f>
        <v/>
      </c>
      <c r="H45" s="74">
        <f>Rev_Build!R6</f>
        <v/>
      </c>
      <c r="I45" s="74">
        <f>Rev_Build!S6</f>
        <v/>
      </c>
      <c r="J45" s="74">
        <f>Rev_Build!T6</f>
        <v/>
      </c>
      <c r="K45" s="74">
        <f>Rev_Build!U6</f>
        <v/>
      </c>
      <c r="L45" s="74">
        <f>Rev_Build!V6</f>
        <v/>
      </c>
      <c r="M45" s="74">
        <f>Rev_Build!W6</f>
        <v/>
      </c>
      <c r="N45" s="74">
        <f>Rev_Build!X6</f>
        <v/>
      </c>
      <c r="O45" s="74">
        <f>Rev_Build!Y6</f>
        <v/>
      </c>
      <c r="P45" s="74">
        <f>Rev_Build!Z6</f>
        <v/>
      </c>
      <c r="Q45" s="74">
        <f>Rev_Build!AA6</f>
        <v/>
      </c>
      <c r="R45" s="74">
        <f>Rev_Build!AB6</f>
        <v/>
      </c>
      <c r="S45" s="74">
        <f>Rev_Build!AC6</f>
        <v/>
      </c>
      <c r="T45" s="74">
        <f>Rev_Build!AD6</f>
        <v/>
      </c>
      <c r="U45" s="74">
        <f>Rev_Build!AE6</f>
        <v/>
      </c>
      <c r="V45" s="74">
        <f>Rev_Build!AF6</f>
        <v/>
      </c>
      <c r="W45" s="74">
        <f>Rev_Build!AG6</f>
        <v/>
      </c>
      <c r="X45" s="74">
        <f>Rev_Build!AH6</f>
        <v/>
      </c>
      <c r="Y45" s="74">
        <f>Rev_Build!AI6</f>
        <v/>
      </c>
      <c r="Z45" s="74">
        <f>Rev_Build!AJ6</f>
        <v/>
      </c>
      <c r="AA45" s="74">
        <f>Rev_Build!AK6</f>
        <v/>
      </c>
      <c r="AB45" s="74">
        <f>Rev_Build!AL6</f>
        <v/>
      </c>
    </row>
    <row r="46">
      <c r="A46" s="5" t="inlineStr">
        <is>
          <t>out_rb_logos_ent</t>
        </is>
      </c>
      <c r="B46" s="5" t="inlineStr">
        <is>
          <t>Rev_Build: New logos - Enterprise</t>
        </is>
      </c>
      <c r="C46" s="2" t="inlineStr">
        <is>
          <t>#</t>
        </is>
      </c>
      <c r="E46" s="15">
        <f>Rev_Build!O11</f>
        <v/>
      </c>
      <c r="F46" s="15">
        <f>Rev_Build!P11</f>
        <v/>
      </c>
      <c r="G46" s="15">
        <f>Rev_Build!Q11</f>
        <v/>
      </c>
      <c r="H46" s="15">
        <f>Rev_Build!R11</f>
        <v/>
      </c>
      <c r="I46" s="15">
        <f>Rev_Build!S11</f>
        <v/>
      </c>
      <c r="J46" s="15">
        <f>Rev_Build!T11</f>
        <v/>
      </c>
      <c r="K46" s="15">
        <f>Rev_Build!U11</f>
        <v/>
      </c>
      <c r="L46" s="15">
        <f>Rev_Build!V11</f>
        <v/>
      </c>
      <c r="M46" s="15">
        <f>Rev_Build!W11</f>
        <v/>
      </c>
      <c r="N46" s="15">
        <f>Rev_Build!X11</f>
        <v/>
      </c>
      <c r="O46" s="15">
        <f>Rev_Build!Y11</f>
        <v/>
      </c>
      <c r="P46" s="15">
        <f>Rev_Build!Z11</f>
        <v/>
      </c>
      <c r="Q46" s="15">
        <f>Rev_Build!AA11</f>
        <v/>
      </c>
      <c r="R46" s="15">
        <f>Rev_Build!AB11</f>
        <v/>
      </c>
      <c r="S46" s="15">
        <f>Rev_Build!AC11</f>
        <v/>
      </c>
      <c r="T46" s="15">
        <f>Rev_Build!AD11</f>
        <v/>
      </c>
      <c r="U46" s="15">
        <f>Rev_Build!AE11</f>
        <v/>
      </c>
      <c r="V46" s="15">
        <f>Rev_Build!AF11</f>
        <v/>
      </c>
      <c r="W46" s="15">
        <f>Rev_Build!AG11</f>
        <v/>
      </c>
      <c r="X46" s="15">
        <f>Rev_Build!AH11</f>
        <v/>
      </c>
      <c r="Y46" s="15">
        <f>Rev_Build!AI11</f>
        <v/>
      </c>
      <c r="Z46" s="15">
        <f>Rev_Build!AJ11</f>
        <v/>
      </c>
      <c r="AA46" s="15">
        <f>Rev_Build!AK11</f>
        <v/>
      </c>
      <c r="AB46" s="15">
        <f>Rev_Build!AL11</f>
        <v/>
      </c>
      <c r="AC46" s="15">
        <f>Rev_Build!AN11</f>
        <v/>
      </c>
      <c r="AD46" s="15">
        <f>Rev_Build!AO11</f>
        <v/>
      </c>
    </row>
    <row r="47">
      <c r="A47" s="5" t="inlineStr">
        <is>
          <t>out_rb_acv_ent</t>
        </is>
      </c>
      <c r="B47" s="5" t="inlineStr">
        <is>
          <t>Rev_Build: ACV of new logos - Enterprise</t>
        </is>
      </c>
      <c r="C47" s="2" t="inlineStr">
        <is>
          <t>GBP k</t>
        </is>
      </c>
      <c r="E47" s="15">
        <f>Rev_Build!O12</f>
        <v/>
      </c>
      <c r="F47" s="15">
        <f>Rev_Build!P12</f>
        <v/>
      </c>
      <c r="G47" s="15">
        <f>Rev_Build!Q12</f>
        <v/>
      </c>
      <c r="H47" s="15">
        <f>Rev_Build!R12</f>
        <v/>
      </c>
      <c r="I47" s="15">
        <f>Rev_Build!S12</f>
        <v/>
      </c>
      <c r="J47" s="15">
        <f>Rev_Build!T12</f>
        <v/>
      </c>
      <c r="K47" s="15">
        <f>Rev_Build!U12</f>
        <v/>
      </c>
      <c r="L47" s="15">
        <f>Rev_Build!V12</f>
        <v/>
      </c>
      <c r="M47" s="15">
        <f>Rev_Build!W12</f>
        <v/>
      </c>
      <c r="N47" s="15">
        <f>Rev_Build!X12</f>
        <v/>
      </c>
      <c r="O47" s="15">
        <f>Rev_Build!Y12</f>
        <v/>
      </c>
      <c r="P47" s="15">
        <f>Rev_Build!Z12</f>
        <v/>
      </c>
      <c r="Q47" s="15">
        <f>Rev_Build!AA12</f>
        <v/>
      </c>
      <c r="R47" s="15">
        <f>Rev_Build!AB12</f>
        <v/>
      </c>
      <c r="S47" s="15">
        <f>Rev_Build!AC12</f>
        <v/>
      </c>
      <c r="T47" s="15">
        <f>Rev_Build!AD12</f>
        <v/>
      </c>
      <c r="U47" s="15">
        <f>Rev_Build!AE12</f>
        <v/>
      </c>
      <c r="V47" s="15">
        <f>Rev_Build!AF12</f>
        <v/>
      </c>
      <c r="W47" s="15">
        <f>Rev_Build!AG12</f>
        <v/>
      </c>
      <c r="X47" s="15">
        <f>Rev_Build!AH12</f>
        <v/>
      </c>
      <c r="Y47" s="15">
        <f>Rev_Build!AI12</f>
        <v/>
      </c>
      <c r="Z47" s="15">
        <f>Rev_Build!AJ12</f>
        <v/>
      </c>
      <c r="AA47" s="15">
        <f>Rev_Build!AK12</f>
        <v/>
      </c>
      <c r="AB47" s="15">
        <f>Rev_Build!AL12</f>
        <v/>
      </c>
      <c r="AC47" s="15">
        <f>Rev_Build!AN12</f>
        <v/>
      </c>
      <c r="AD47" s="15">
        <f>Rev_Build!AO12</f>
        <v/>
      </c>
    </row>
    <row r="48">
      <c r="A48" s="5" t="inlineStr">
        <is>
          <t>out_rb_churn_m_ent</t>
        </is>
      </c>
      <c r="B48" s="5" t="inlineStr">
        <is>
          <t>Rev_Build: Monthly gross churn rate - Enterprise</t>
        </is>
      </c>
      <c r="C48" s="2" t="inlineStr">
        <is>
          <t>%/mo</t>
        </is>
      </c>
      <c r="E48" s="17">
        <f>Rev_Build!O13</f>
        <v/>
      </c>
      <c r="F48" s="17">
        <f>Rev_Build!P13</f>
        <v/>
      </c>
      <c r="G48" s="17">
        <f>Rev_Build!Q13</f>
        <v/>
      </c>
      <c r="H48" s="17">
        <f>Rev_Build!R13</f>
        <v/>
      </c>
      <c r="I48" s="17">
        <f>Rev_Build!S13</f>
        <v/>
      </c>
      <c r="J48" s="17">
        <f>Rev_Build!T13</f>
        <v/>
      </c>
      <c r="K48" s="17">
        <f>Rev_Build!U13</f>
        <v/>
      </c>
      <c r="L48" s="17">
        <f>Rev_Build!V13</f>
        <v/>
      </c>
      <c r="M48" s="17">
        <f>Rev_Build!W13</f>
        <v/>
      </c>
      <c r="N48" s="17">
        <f>Rev_Build!X13</f>
        <v/>
      </c>
      <c r="O48" s="17">
        <f>Rev_Build!Y13</f>
        <v/>
      </c>
      <c r="P48" s="17">
        <f>Rev_Build!Z13</f>
        <v/>
      </c>
      <c r="Q48" s="17">
        <f>Rev_Build!AA13</f>
        <v/>
      </c>
      <c r="R48" s="17">
        <f>Rev_Build!AB13</f>
        <v/>
      </c>
      <c r="S48" s="17">
        <f>Rev_Build!AC13</f>
        <v/>
      </c>
      <c r="T48" s="17">
        <f>Rev_Build!AD13</f>
        <v/>
      </c>
      <c r="U48" s="17">
        <f>Rev_Build!AE13</f>
        <v/>
      </c>
      <c r="V48" s="17">
        <f>Rev_Build!AF13</f>
        <v/>
      </c>
      <c r="W48" s="17">
        <f>Rev_Build!AG13</f>
        <v/>
      </c>
      <c r="X48" s="17">
        <f>Rev_Build!AH13</f>
        <v/>
      </c>
      <c r="Y48" s="17">
        <f>Rev_Build!AI13</f>
        <v/>
      </c>
      <c r="Z48" s="17">
        <f>Rev_Build!AJ13</f>
        <v/>
      </c>
      <c r="AA48" s="17">
        <f>Rev_Build!AK13</f>
        <v/>
      </c>
      <c r="AB48" s="17">
        <f>Rev_Build!AL13</f>
        <v/>
      </c>
      <c r="AC48" s="17">
        <f>Rev_Build!AN13</f>
        <v/>
      </c>
      <c r="AD48" s="17">
        <f>Rev_Build!AO13</f>
        <v/>
      </c>
    </row>
    <row r="49">
      <c r="A49" s="5" t="inlineStr">
        <is>
          <t>out_rb_exp_m_ent</t>
        </is>
      </c>
      <c r="B49" s="5" t="inlineStr">
        <is>
          <t>Rev_Build: Monthly expansion rate - Enterprise</t>
        </is>
      </c>
      <c r="C49" s="2" t="inlineStr">
        <is>
          <t>%/mo</t>
        </is>
      </c>
      <c r="E49" s="17">
        <f>Rev_Build!O14</f>
        <v/>
      </c>
      <c r="F49" s="17">
        <f>Rev_Build!P14</f>
        <v/>
      </c>
      <c r="G49" s="17">
        <f>Rev_Build!Q14</f>
        <v/>
      </c>
      <c r="H49" s="17">
        <f>Rev_Build!R14</f>
        <v/>
      </c>
      <c r="I49" s="17">
        <f>Rev_Build!S14</f>
        <v/>
      </c>
      <c r="J49" s="17">
        <f>Rev_Build!T14</f>
        <v/>
      </c>
      <c r="K49" s="17">
        <f>Rev_Build!U14</f>
        <v/>
      </c>
      <c r="L49" s="17">
        <f>Rev_Build!V14</f>
        <v/>
      </c>
      <c r="M49" s="17">
        <f>Rev_Build!W14</f>
        <v/>
      </c>
      <c r="N49" s="17">
        <f>Rev_Build!X14</f>
        <v/>
      </c>
      <c r="O49" s="17">
        <f>Rev_Build!Y14</f>
        <v/>
      </c>
      <c r="P49" s="17">
        <f>Rev_Build!Z14</f>
        <v/>
      </c>
      <c r="Q49" s="17">
        <f>Rev_Build!AA14</f>
        <v/>
      </c>
      <c r="R49" s="17">
        <f>Rev_Build!AB14</f>
        <v/>
      </c>
      <c r="S49" s="17">
        <f>Rev_Build!AC14</f>
        <v/>
      </c>
      <c r="T49" s="17">
        <f>Rev_Build!AD14</f>
        <v/>
      </c>
      <c r="U49" s="17">
        <f>Rev_Build!AE14</f>
        <v/>
      </c>
      <c r="V49" s="17">
        <f>Rev_Build!AF14</f>
        <v/>
      </c>
      <c r="W49" s="17">
        <f>Rev_Build!AG14</f>
        <v/>
      </c>
      <c r="X49" s="17">
        <f>Rev_Build!AH14</f>
        <v/>
      </c>
      <c r="Y49" s="17">
        <f>Rev_Build!AI14</f>
        <v/>
      </c>
      <c r="Z49" s="17">
        <f>Rev_Build!AJ14</f>
        <v/>
      </c>
      <c r="AA49" s="17">
        <f>Rev_Build!AK14</f>
        <v/>
      </c>
      <c r="AB49" s="17">
        <f>Rev_Build!AL14</f>
        <v/>
      </c>
      <c r="AC49" s="17">
        <f>Rev_Build!AN14</f>
        <v/>
      </c>
      <c r="AD49" s="17">
        <f>Rev_Build!AO14</f>
        <v/>
      </c>
    </row>
    <row r="50">
      <c r="A50" s="5" t="inlineStr">
        <is>
          <t>out_rb_logos_mid</t>
        </is>
      </c>
      <c r="B50" s="5" t="inlineStr">
        <is>
          <t>Rev_Build: New logos - Mid-market</t>
        </is>
      </c>
      <c r="C50" s="2" t="inlineStr">
        <is>
          <t>#</t>
        </is>
      </c>
      <c r="E50" s="15">
        <f>Rev_Build!O15</f>
        <v/>
      </c>
      <c r="F50" s="15">
        <f>Rev_Build!P15</f>
        <v/>
      </c>
      <c r="G50" s="15">
        <f>Rev_Build!Q15</f>
        <v/>
      </c>
      <c r="H50" s="15">
        <f>Rev_Build!R15</f>
        <v/>
      </c>
      <c r="I50" s="15">
        <f>Rev_Build!S15</f>
        <v/>
      </c>
      <c r="J50" s="15">
        <f>Rev_Build!T15</f>
        <v/>
      </c>
      <c r="K50" s="15">
        <f>Rev_Build!U15</f>
        <v/>
      </c>
      <c r="L50" s="15">
        <f>Rev_Build!V15</f>
        <v/>
      </c>
      <c r="M50" s="15">
        <f>Rev_Build!W15</f>
        <v/>
      </c>
      <c r="N50" s="15">
        <f>Rev_Build!X15</f>
        <v/>
      </c>
      <c r="O50" s="15">
        <f>Rev_Build!Y15</f>
        <v/>
      </c>
      <c r="P50" s="15">
        <f>Rev_Build!Z15</f>
        <v/>
      </c>
      <c r="Q50" s="15">
        <f>Rev_Build!AA15</f>
        <v/>
      </c>
      <c r="R50" s="15">
        <f>Rev_Build!AB15</f>
        <v/>
      </c>
      <c r="S50" s="15">
        <f>Rev_Build!AC15</f>
        <v/>
      </c>
      <c r="T50" s="15">
        <f>Rev_Build!AD15</f>
        <v/>
      </c>
      <c r="U50" s="15">
        <f>Rev_Build!AE15</f>
        <v/>
      </c>
      <c r="V50" s="15">
        <f>Rev_Build!AF15</f>
        <v/>
      </c>
      <c r="W50" s="15">
        <f>Rev_Build!AG15</f>
        <v/>
      </c>
      <c r="X50" s="15">
        <f>Rev_Build!AH15</f>
        <v/>
      </c>
      <c r="Y50" s="15">
        <f>Rev_Build!AI15</f>
        <v/>
      </c>
      <c r="Z50" s="15">
        <f>Rev_Build!AJ15</f>
        <v/>
      </c>
      <c r="AA50" s="15">
        <f>Rev_Build!AK15</f>
        <v/>
      </c>
      <c r="AB50" s="15">
        <f>Rev_Build!AL15</f>
        <v/>
      </c>
      <c r="AC50" s="15">
        <f>Rev_Build!AN15</f>
        <v/>
      </c>
      <c r="AD50" s="15">
        <f>Rev_Build!AO15</f>
        <v/>
      </c>
    </row>
    <row r="51">
      <c r="A51" s="5" t="inlineStr">
        <is>
          <t>out_rb_acv_mid</t>
        </is>
      </c>
      <c r="B51" s="5" t="inlineStr">
        <is>
          <t>Rev_Build: ACV of new logos - Mid-market</t>
        </is>
      </c>
      <c r="C51" s="2" t="inlineStr">
        <is>
          <t>GBP k</t>
        </is>
      </c>
      <c r="E51" s="15">
        <f>Rev_Build!O16</f>
        <v/>
      </c>
      <c r="F51" s="15">
        <f>Rev_Build!P16</f>
        <v/>
      </c>
      <c r="G51" s="15">
        <f>Rev_Build!Q16</f>
        <v/>
      </c>
      <c r="H51" s="15">
        <f>Rev_Build!R16</f>
        <v/>
      </c>
      <c r="I51" s="15">
        <f>Rev_Build!S16</f>
        <v/>
      </c>
      <c r="J51" s="15">
        <f>Rev_Build!T16</f>
        <v/>
      </c>
      <c r="K51" s="15">
        <f>Rev_Build!U16</f>
        <v/>
      </c>
      <c r="L51" s="15">
        <f>Rev_Build!V16</f>
        <v/>
      </c>
      <c r="M51" s="15">
        <f>Rev_Build!W16</f>
        <v/>
      </c>
      <c r="N51" s="15">
        <f>Rev_Build!X16</f>
        <v/>
      </c>
      <c r="O51" s="15">
        <f>Rev_Build!Y16</f>
        <v/>
      </c>
      <c r="P51" s="15">
        <f>Rev_Build!Z16</f>
        <v/>
      </c>
      <c r="Q51" s="15">
        <f>Rev_Build!AA16</f>
        <v/>
      </c>
      <c r="R51" s="15">
        <f>Rev_Build!AB16</f>
        <v/>
      </c>
      <c r="S51" s="15">
        <f>Rev_Build!AC16</f>
        <v/>
      </c>
      <c r="T51" s="15">
        <f>Rev_Build!AD16</f>
        <v/>
      </c>
      <c r="U51" s="15">
        <f>Rev_Build!AE16</f>
        <v/>
      </c>
      <c r="V51" s="15">
        <f>Rev_Build!AF16</f>
        <v/>
      </c>
      <c r="W51" s="15">
        <f>Rev_Build!AG16</f>
        <v/>
      </c>
      <c r="X51" s="15">
        <f>Rev_Build!AH16</f>
        <v/>
      </c>
      <c r="Y51" s="15">
        <f>Rev_Build!AI16</f>
        <v/>
      </c>
      <c r="Z51" s="15">
        <f>Rev_Build!AJ16</f>
        <v/>
      </c>
      <c r="AA51" s="15">
        <f>Rev_Build!AK16</f>
        <v/>
      </c>
      <c r="AB51" s="15">
        <f>Rev_Build!AL16</f>
        <v/>
      </c>
      <c r="AC51" s="15">
        <f>Rev_Build!AN16</f>
        <v/>
      </c>
      <c r="AD51" s="15">
        <f>Rev_Build!AO16</f>
        <v/>
      </c>
    </row>
    <row r="52">
      <c r="A52" s="5" t="inlineStr">
        <is>
          <t>out_rb_churn_m_mid</t>
        </is>
      </c>
      <c r="B52" s="5" t="inlineStr">
        <is>
          <t>Rev_Build: Monthly gross churn rate - Mid-market</t>
        </is>
      </c>
      <c r="C52" s="2" t="inlineStr">
        <is>
          <t>%/mo</t>
        </is>
      </c>
      <c r="E52" s="17">
        <f>Rev_Build!O17</f>
        <v/>
      </c>
      <c r="F52" s="17">
        <f>Rev_Build!P17</f>
        <v/>
      </c>
      <c r="G52" s="17">
        <f>Rev_Build!Q17</f>
        <v/>
      </c>
      <c r="H52" s="17">
        <f>Rev_Build!R17</f>
        <v/>
      </c>
      <c r="I52" s="17">
        <f>Rev_Build!S17</f>
        <v/>
      </c>
      <c r="J52" s="17">
        <f>Rev_Build!T17</f>
        <v/>
      </c>
      <c r="K52" s="17">
        <f>Rev_Build!U17</f>
        <v/>
      </c>
      <c r="L52" s="17">
        <f>Rev_Build!V17</f>
        <v/>
      </c>
      <c r="M52" s="17">
        <f>Rev_Build!W17</f>
        <v/>
      </c>
      <c r="N52" s="17">
        <f>Rev_Build!X17</f>
        <v/>
      </c>
      <c r="O52" s="17">
        <f>Rev_Build!Y17</f>
        <v/>
      </c>
      <c r="P52" s="17">
        <f>Rev_Build!Z17</f>
        <v/>
      </c>
      <c r="Q52" s="17">
        <f>Rev_Build!AA17</f>
        <v/>
      </c>
      <c r="R52" s="17">
        <f>Rev_Build!AB17</f>
        <v/>
      </c>
      <c r="S52" s="17">
        <f>Rev_Build!AC17</f>
        <v/>
      </c>
      <c r="T52" s="17">
        <f>Rev_Build!AD17</f>
        <v/>
      </c>
      <c r="U52" s="17">
        <f>Rev_Build!AE17</f>
        <v/>
      </c>
      <c r="V52" s="17">
        <f>Rev_Build!AF17</f>
        <v/>
      </c>
      <c r="W52" s="17">
        <f>Rev_Build!AG17</f>
        <v/>
      </c>
      <c r="X52" s="17">
        <f>Rev_Build!AH17</f>
        <v/>
      </c>
      <c r="Y52" s="17">
        <f>Rev_Build!AI17</f>
        <v/>
      </c>
      <c r="Z52" s="17">
        <f>Rev_Build!AJ17</f>
        <v/>
      </c>
      <c r="AA52" s="17">
        <f>Rev_Build!AK17</f>
        <v/>
      </c>
      <c r="AB52" s="17">
        <f>Rev_Build!AL17</f>
        <v/>
      </c>
      <c r="AC52" s="17">
        <f>Rev_Build!AN17</f>
        <v/>
      </c>
      <c r="AD52" s="17">
        <f>Rev_Build!AO17</f>
        <v/>
      </c>
    </row>
    <row r="53">
      <c r="A53" s="5" t="inlineStr">
        <is>
          <t>out_rb_exp_m_mid</t>
        </is>
      </c>
      <c r="B53" s="5" t="inlineStr">
        <is>
          <t>Rev_Build: Monthly expansion rate - Mid-market</t>
        </is>
      </c>
      <c r="C53" s="2" t="inlineStr">
        <is>
          <t>%/mo</t>
        </is>
      </c>
      <c r="E53" s="17">
        <f>Rev_Build!O18</f>
        <v/>
      </c>
      <c r="F53" s="17">
        <f>Rev_Build!P18</f>
        <v/>
      </c>
      <c r="G53" s="17">
        <f>Rev_Build!Q18</f>
        <v/>
      </c>
      <c r="H53" s="17">
        <f>Rev_Build!R18</f>
        <v/>
      </c>
      <c r="I53" s="17">
        <f>Rev_Build!S18</f>
        <v/>
      </c>
      <c r="J53" s="17">
        <f>Rev_Build!T18</f>
        <v/>
      </c>
      <c r="K53" s="17">
        <f>Rev_Build!U18</f>
        <v/>
      </c>
      <c r="L53" s="17">
        <f>Rev_Build!V18</f>
        <v/>
      </c>
      <c r="M53" s="17">
        <f>Rev_Build!W18</f>
        <v/>
      </c>
      <c r="N53" s="17">
        <f>Rev_Build!X18</f>
        <v/>
      </c>
      <c r="O53" s="17">
        <f>Rev_Build!Y18</f>
        <v/>
      </c>
      <c r="P53" s="17">
        <f>Rev_Build!Z18</f>
        <v/>
      </c>
      <c r="Q53" s="17">
        <f>Rev_Build!AA18</f>
        <v/>
      </c>
      <c r="R53" s="17">
        <f>Rev_Build!AB18</f>
        <v/>
      </c>
      <c r="S53" s="17">
        <f>Rev_Build!AC18</f>
        <v/>
      </c>
      <c r="T53" s="17">
        <f>Rev_Build!AD18</f>
        <v/>
      </c>
      <c r="U53" s="17">
        <f>Rev_Build!AE18</f>
        <v/>
      </c>
      <c r="V53" s="17">
        <f>Rev_Build!AF18</f>
        <v/>
      </c>
      <c r="W53" s="17">
        <f>Rev_Build!AG18</f>
        <v/>
      </c>
      <c r="X53" s="17">
        <f>Rev_Build!AH18</f>
        <v/>
      </c>
      <c r="Y53" s="17">
        <f>Rev_Build!AI18</f>
        <v/>
      </c>
      <c r="Z53" s="17">
        <f>Rev_Build!AJ18</f>
        <v/>
      </c>
      <c r="AA53" s="17">
        <f>Rev_Build!AK18</f>
        <v/>
      </c>
      <c r="AB53" s="17">
        <f>Rev_Build!AL18</f>
        <v/>
      </c>
      <c r="AC53" s="17">
        <f>Rev_Build!AN18</f>
        <v/>
      </c>
      <c r="AD53" s="17">
        <f>Rev_Build!AO18</f>
        <v/>
      </c>
    </row>
    <row r="54">
      <c r="A54" s="5" t="inlineStr">
        <is>
          <t>out_rb_arr_open</t>
        </is>
      </c>
      <c r="B54" s="5" t="inlineStr">
        <is>
          <t>Rev_Build: Opening ARR</t>
        </is>
      </c>
      <c r="C54" s="2" t="inlineStr">
        <is>
          <t>GBP k</t>
        </is>
      </c>
      <c r="E54" s="19">
        <f>Rev_Build!O43</f>
        <v/>
      </c>
      <c r="F54" s="19">
        <f>Rev_Build!P43</f>
        <v/>
      </c>
      <c r="G54" s="19">
        <f>Rev_Build!Q43</f>
        <v/>
      </c>
      <c r="H54" s="19">
        <f>Rev_Build!R43</f>
        <v/>
      </c>
      <c r="I54" s="19">
        <f>Rev_Build!S43</f>
        <v/>
      </c>
      <c r="J54" s="19">
        <f>Rev_Build!T43</f>
        <v/>
      </c>
      <c r="K54" s="19">
        <f>Rev_Build!U43</f>
        <v/>
      </c>
      <c r="L54" s="19">
        <f>Rev_Build!V43</f>
        <v/>
      </c>
      <c r="M54" s="19">
        <f>Rev_Build!W43</f>
        <v/>
      </c>
      <c r="N54" s="19">
        <f>Rev_Build!X43</f>
        <v/>
      </c>
      <c r="O54" s="19">
        <f>Rev_Build!Y43</f>
        <v/>
      </c>
      <c r="P54" s="19">
        <f>Rev_Build!Z43</f>
        <v/>
      </c>
      <c r="Q54" s="19">
        <f>Rev_Build!AA43</f>
        <v/>
      </c>
      <c r="R54" s="19">
        <f>Rev_Build!AB43</f>
        <v/>
      </c>
      <c r="S54" s="19">
        <f>Rev_Build!AC43</f>
        <v/>
      </c>
      <c r="T54" s="19">
        <f>Rev_Build!AD43</f>
        <v/>
      </c>
      <c r="U54" s="19">
        <f>Rev_Build!AE43</f>
        <v/>
      </c>
      <c r="V54" s="19">
        <f>Rev_Build!AF43</f>
        <v/>
      </c>
      <c r="W54" s="19">
        <f>Rev_Build!AG43</f>
        <v/>
      </c>
      <c r="X54" s="19">
        <f>Rev_Build!AH43</f>
        <v/>
      </c>
      <c r="Y54" s="19">
        <f>Rev_Build!AI43</f>
        <v/>
      </c>
      <c r="Z54" s="19">
        <f>Rev_Build!AJ43</f>
        <v/>
      </c>
      <c r="AA54" s="19">
        <f>Rev_Build!AK43</f>
        <v/>
      </c>
      <c r="AB54" s="19">
        <f>Rev_Build!AL43</f>
        <v/>
      </c>
      <c r="AC54" s="19">
        <f>Rev_Build!AN43</f>
        <v/>
      </c>
      <c r="AD54" s="19">
        <f>Rev_Build!AO43</f>
        <v/>
      </c>
    </row>
    <row r="55">
      <c r="A55" s="5" t="inlineStr">
        <is>
          <t>out_rb_arr_new</t>
        </is>
      </c>
      <c r="B55" s="5" t="inlineStr">
        <is>
          <t>Rev_Build: + New logos</t>
        </is>
      </c>
      <c r="C55" s="2" t="inlineStr">
        <is>
          <t>GBP k</t>
        </is>
      </c>
      <c r="E55" s="19">
        <f>Rev_Build!O44</f>
        <v/>
      </c>
      <c r="F55" s="19">
        <f>Rev_Build!P44</f>
        <v/>
      </c>
      <c r="G55" s="19">
        <f>Rev_Build!Q44</f>
        <v/>
      </c>
      <c r="H55" s="19">
        <f>Rev_Build!R44</f>
        <v/>
      </c>
      <c r="I55" s="19">
        <f>Rev_Build!S44</f>
        <v/>
      </c>
      <c r="J55" s="19">
        <f>Rev_Build!T44</f>
        <v/>
      </c>
      <c r="K55" s="19">
        <f>Rev_Build!U44</f>
        <v/>
      </c>
      <c r="L55" s="19">
        <f>Rev_Build!V44</f>
        <v/>
      </c>
      <c r="M55" s="19">
        <f>Rev_Build!W44</f>
        <v/>
      </c>
      <c r="N55" s="19">
        <f>Rev_Build!X44</f>
        <v/>
      </c>
      <c r="O55" s="19">
        <f>Rev_Build!Y44</f>
        <v/>
      </c>
      <c r="P55" s="19">
        <f>Rev_Build!Z44</f>
        <v/>
      </c>
      <c r="Q55" s="19">
        <f>Rev_Build!AA44</f>
        <v/>
      </c>
      <c r="R55" s="19">
        <f>Rev_Build!AB44</f>
        <v/>
      </c>
      <c r="S55" s="19">
        <f>Rev_Build!AC44</f>
        <v/>
      </c>
      <c r="T55" s="19">
        <f>Rev_Build!AD44</f>
        <v/>
      </c>
      <c r="U55" s="19">
        <f>Rev_Build!AE44</f>
        <v/>
      </c>
      <c r="V55" s="19">
        <f>Rev_Build!AF44</f>
        <v/>
      </c>
      <c r="W55" s="19">
        <f>Rev_Build!AG44</f>
        <v/>
      </c>
      <c r="X55" s="19">
        <f>Rev_Build!AH44</f>
        <v/>
      </c>
      <c r="Y55" s="19">
        <f>Rev_Build!AI44</f>
        <v/>
      </c>
      <c r="Z55" s="19">
        <f>Rev_Build!AJ44</f>
        <v/>
      </c>
      <c r="AA55" s="19">
        <f>Rev_Build!AK44</f>
        <v/>
      </c>
      <c r="AB55" s="19">
        <f>Rev_Build!AL44</f>
        <v/>
      </c>
      <c r="AC55" s="19">
        <f>Rev_Build!AN44</f>
        <v/>
      </c>
      <c r="AD55" s="19">
        <f>Rev_Build!AO44</f>
        <v/>
      </c>
    </row>
    <row r="56">
      <c r="A56" s="5" t="inlineStr">
        <is>
          <t>out_rb_arr_exp</t>
        </is>
      </c>
      <c r="B56" s="5" t="inlineStr">
        <is>
          <t>Rev_Build: + Expansion</t>
        </is>
      </c>
      <c r="C56" s="2" t="inlineStr">
        <is>
          <t>GBP k</t>
        </is>
      </c>
      <c r="E56" s="19">
        <f>Rev_Build!O45</f>
        <v/>
      </c>
      <c r="F56" s="19">
        <f>Rev_Build!P45</f>
        <v/>
      </c>
      <c r="G56" s="19">
        <f>Rev_Build!Q45</f>
        <v/>
      </c>
      <c r="H56" s="19">
        <f>Rev_Build!R45</f>
        <v/>
      </c>
      <c r="I56" s="19">
        <f>Rev_Build!S45</f>
        <v/>
      </c>
      <c r="J56" s="19">
        <f>Rev_Build!T45</f>
        <v/>
      </c>
      <c r="K56" s="19">
        <f>Rev_Build!U45</f>
        <v/>
      </c>
      <c r="L56" s="19">
        <f>Rev_Build!V45</f>
        <v/>
      </c>
      <c r="M56" s="19">
        <f>Rev_Build!W45</f>
        <v/>
      </c>
      <c r="N56" s="19">
        <f>Rev_Build!X45</f>
        <v/>
      </c>
      <c r="O56" s="19">
        <f>Rev_Build!Y45</f>
        <v/>
      </c>
      <c r="P56" s="19">
        <f>Rev_Build!Z45</f>
        <v/>
      </c>
      <c r="Q56" s="19">
        <f>Rev_Build!AA45</f>
        <v/>
      </c>
      <c r="R56" s="19">
        <f>Rev_Build!AB45</f>
        <v/>
      </c>
      <c r="S56" s="19">
        <f>Rev_Build!AC45</f>
        <v/>
      </c>
      <c r="T56" s="19">
        <f>Rev_Build!AD45</f>
        <v/>
      </c>
      <c r="U56" s="19">
        <f>Rev_Build!AE45</f>
        <v/>
      </c>
      <c r="V56" s="19">
        <f>Rev_Build!AF45</f>
        <v/>
      </c>
      <c r="W56" s="19">
        <f>Rev_Build!AG45</f>
        <v/>
      </c>
      <c r="X56" s="19">
        <f>Rev_Build!AH45</f>
        <v/>
      </c>
      <c r="Y56" s="19">
        <f>Rev_Build!AI45</f>
        <v/>
      </c>
      <c r="Z56" s="19">
        <f>Rev_Build!AJ45</f>
        <v/>
      </c>
      <c r="AA56" s="19">
        <f>Rev_Build!AK45</f>
        <v/>
      </c>
      <c r="AB56" s="19">
        <f>Rev_Build!AL45</f>
        <v/>
      </c>
      <c r="AC56" s="19">
        <f>Rev_Build!AN45</f>
        <v/>
      </c>
      <c r="AD56" s="19">
        <f>Rev_Build!AO45</f>
        <v/>
      </c>
    </row>
    <row r="57">
      <c r="A57" s="5" t="inlineStr">
        <is>
          <t>out_rb_arr_churn</t>
        </is>
      </c>
      <c r="B57" s="5" t="inlineStr">
        <is>
          <t>Rev_Build: - Churn</t>
        </is>
      </c>
      <c r="C57" s="2" t="inlineStr">
        <is>
          <t>GBP k</t>
        </is>
      </c>
      <c r="E57" s="19">
        <f>Rev_Build!O46</f>
        <v/>
      </c>
      <c r="F57" s="19">
        <f>Rev_Build!P46</f>
        <v/>
      </c>
      <c r="G57" s="19">
        <f>Rev_Build!Q46</f>
        <v/>
      </c>
      <c r="H57" s="19">
        <f>Rev_Build!R46</f>
        <v/>
      </c>
      <c r="I57" s="19">
        <f>Rev_Build!S46</f>
        <v/>
      </c>
      <c r="J57" s="19">
        <f>Rev_Build!T46</f>
        <v/>
      </c>
      <c r="K57" s="19">
        <f>Rev_Build!U46</f>
        <v/>
      </c>
      <c r="L57" s="19">
        <f>Rev_Build!V46</f>
        <v/>
      </c>
      <c r="M57" s="19">
        <f>Rev_Build!W46</f>
        <v/>
      </c>
      <c r="N57" s="19">
        <f>Rev_Build!X46</f>
        <v/>
      </c>
      <c r="O57" s="19">
        <f>Rev_Build!Y46</f>
        <v/>
      </c>
      <c r="P57" s="19">
        <f>Rev_Build!Z46</f>
        <v/>
      </c>
      <c r="Q57" s="19">
        <f>Rev_Build!AA46</f>
        <v/>
      </c>
      <c r="R57" s="19">
        <f>Rev_Build!AB46</f>
        <v/>
      </c>
      <c r="S57" s="19">
        <f>Rev_Build!AC46</f>
        <v/>
      </c>
      <c r="T57" s="19">
        <f>Rev_Build!AD46</f>
        <v/>
      </c>
      <c r="U57" s="19">
        <f>Rev_Build!AE46</f>
        <v/>
      </c>
      <c r="V57" s="19">
        <f>Rev_Build!AF46</f>
        <v/>
      </c>
      <c r="W57" s="19">
        <f>Rev_Build!AG46</f>
        <v/>
      </c>
      <c r="X57" s="19">
        <f>Rev_Build!AH46</f>
        <v/>
      </c>
      <c r="Y57" s="19">
        <f>Rev_Build!AI46</f>
        <v/>
      </c>
      <c r="Z57" s="19">
        <f>Rev_Build!AJ46</f>
        <v/>
      </c>
      <c r="AA57" s="19">
        <f>Rev_Build!AK46</f>
        <v/>
      </c>
      <c r="AB57" s="19">
        <f>Rev_Build!AL46</f>
        <v/>
      </c>
      <c r="AC57" s="19">
        <f>Rev_Build!AN46</f>
        <v/>
      </c>
      <c r="AD57" s="19">
        <f>Rev_Build!AO46</f>
        <v/>
      </c>
    </row>
    <row r="58">
      <c r="A58" s="5" t="inlineStr">
        <is>
          <t>out_rb_arr_close</t>
        </is>
      </c>
      <c r="B58" s="5" t="inlineStr">
        <is>
          <t>Rev_Build: Closing ARR</t>
        </is>
      </c>
      <c r="C58" s="2" t="inlineStr">
        <is>
          <t>GBP k</t>
        </is>
      </c>
      <c r="D58" s="19">
        <f>Rev_Build!N47</f>
        <v/>
      </c>
      <c r="E58" s="19">
        <f>Rev_Build!O47</f>
        <v/>
      </c>
      <c r="F58" s="19">
        <f>Rev_Build!P47</f>
        <v/>
      </c>
      <c r="G58" s="19">
        <f>Rev_Build!Q47</f>
        <v/>
      </c>
      <c r="H58" s="19">
        <f>Rev_Build!R47</f>
        <v/>
      </c>
      <c r="I58" s="19">
        <f>Rev_Build!S47</f>
        <v/>
      </c>
      <c r="J58" s="19">
        <f>Rev_Build!T47</f>
        <v/>
      </c>
      <c r="K58" s="19">
        <f>Rev_Build!U47</f>
        <v/>
      </c>
      <c r="L58" s="19">
        <f>Rev_Build!V47</f>
        <v/>
      </c>
      <c r="M58" s="19">
        <f>Rev_Build!W47</f>
        <v/>
      </c>
      <c r="N58" s="19">
        <f>Rev_Build!X47</f>
        <v/>
      </c>
      <c r="O58" s="19">
        <f>Rev_Build!Y47</f>
        <v/>
      </c>
      <c r="P58" s="19">
        <f>Rev_Build!Z47</f>
        <v/>
      </c>
      <c r="Q58" s="19">
        <f>Rev_Build!AA47</f>
        <v/>
      </c>
      <c r="R58" s="19">
        <f>Rev_Build!AB47</f>
        <v/>
      </c>
      <c r="S58" s="19">
        <f>Rev_Build!AC47</f>
        <v/>
      </c>
      <c r="T58" s="19">
        <f>Rev_Build!AD47</f>
        <v/>
      </c>
      <c r="U58" s="19">
        <f>Rev_Build!AE47</f>
        <v/>
      </c>
      <c r="V58" s="19">
        <f>Rev_Build!AF47</f>
        <v/>
      </c>
      <c r="W58" s="19">
        <f>Rev_Build!AG47</f>
        <v/>
      </c>
      <c r="X58" s="19">
        <f>Rev_Build!AH47</f>
        <v/>
      </c>
      <c r="Y58" s="19">
        <f>Rev_Build!AI47</f>
        <v/>
      </c>
      <c r="Z58" s="19">
        <f>Rev_Build!AJ47</f>
        <v/>
      </c>
      <c r="AA58" s="19">
        <f>Rev_Build!AK47</f>
        <v/>
      </c>
      <c r="AB58" s="19">
        <f>Rev_Build!AL47</f>
        <v/>
      </c>
      <c r="AC58" s="19">
        <f>Rev_Build!AN47</f>
        <v/>
      </c>
      <c r="AD58" s="19">
        <f>Rev_Build!AO47</f>
        <v/>
      </c>
    </row>
    <row r="59">
      <c r="A59" s="5" t="inlineStr">
        <is>
          <t>out_rb_cust_close</t>
        </is>
      </c>
      <c r="B59" s="5" t="inlineStr">
        <is>
          <t>Rev_Build: Closing customers</t>
        </is>
      </c>
      <c r="C59" s="2" t="inlineStr">
        <is>
          <t>#</t>
        </is>
      </c>
      <c r="D59" s="15">
        <f>Rev_Build!N51</f>
        <v/>
      </c>
      <c r="E59" s="15">
        <f>Rev_Build!O51</f>
        <v/>
      </c>
      <c r="F59" s="15">
        <f>Rev_Build!P51</f>
        <v/>
      </c>
      <c r="G59" s="15">
        <f>Rev_Build!Q51</f>
        <v/>
      </c>
      <c r="H59" s="15">
        <f>Rev_Build!R51</f>
        <v/>
      </c>
      <c r="I59" s="15">
        <f>Rev_Build!S51</f>
        <v/>
      </c>
      <c r="J59" s="15">
        <f>Rev_Build!T51</f>
        <v/>
      </c>
      <c r="K59" s="15">
        <f>Rev_Build!U51</f>
        <v/>
      </c>
      <c r="L59" s="15">
        <f>Rev_Build!V51</f>
        <v/>
      </c>
      <c r="M59" s="15">
        <f>Rev_Build!W51</f>
        <v/>
      </c>
      <c r="N59" s="15">
        <f>Rev_Build!X51</f>
        <v/>
      </c>
      <c r="O59" s="15">
        <f>Rev_Build!Y51</f>
        <v/>
      </c>
      <c r="P59" s="15">
        <f>Rev_Build!Z51</f>
        <v/>
      </c>
      <c r="Q59" s="15">
        <f>Rev_Build!AA51</f>
        <v/>
      </c>
      <c r="R59" s="15">
        <f>Rev_Build!AB51</f>
        <v/>
      </c>
      <c r="S59" s="15">
        <f>Rev_Build!AC51</f>
        <v/>
      </c>
      <c r="T59" s="15">
        <f>Rev_Build!AD51</f>
        <v/>
      </c>
      <c r="U59" s="15">
        <f>Rev_Build!AE51</f>
        <v/>
      </c>
      <c r="V59" s="15">
        <f>Rev_Build!AF51</f>
        <v/>
      </c>
      <c r="W59" s="15">
        <f>Rev_Build!AG51</f>
        <v/>
      </c>
      <c r="X59" s="15">
        <f>Rev_Build!AH51</f>
        <v/>
      </c>
      <c r="Y59" s="15">
        <f>Rev_Build!AI51</f>
        <v/>
      </c>
      <c r="Z59" s="15">
        <f>Rev_Build!AJ51</f>
        <v/>
      </c>
      <c r="AA59" s="15">
        <f>Rev_Build!AK51</f>
        <v/>
      </c>
      <c r="AB59" s="15">
        <f>Rev_Build!AL51</f>
        <v/>
      </c>
      <c r="AC59" s="15">
        <f>Rev_Build!AN51</f>
        <v/>
      </c>
      <c r="AD59" s="15">
        <f>Rev_Build!AO51</f>
        <v/>
      </c>
    </row>
    <row r="60">
      <c r="A60" s="5" t="inlineStr">
        <is>
          <t>out_rb_arr_close_ent</t>
        </is>
      </c>
      <c r="B60" s="5" t="inlineStr">
        <is>
          <t>Rev_Build: Closing ARR</t>
        </is>
      </c>
      <c r="C60" s="2" t="inlineStr">
        <is>
          <t>GBP k</t>
        </is>
      </c>
      <c r="D60" s="19">
        <f>Rev_Build!N25</f>
        <v/>
      </c>
      <c r="E60" s="19">
        <f>Rev_Build!O25</f>
        <v/>
      </c>
      <c r="F60" s="19">
        <f>Rev_Build!P25</f>
        <v/>
      </c>
      <c r="G60" s="19">
        <f>Rev_Build!Q25</f>
        <v/>
      </c>
      <c r="H60" s="19">
        <f>Rev_Build!R25</f>
        <v/>
      </c>
      <c r="I60" s="19">
        <f>Rev_Build!S25</f>
        <v/>
      </c>
      <c r="J60" s="19">
        <f>Rev_Build!T25</f>
        <v/>
      </c>
      <c r="K60" s="19">
        <f>Rev_Build!U25</f>
        <v/>
      </c>
      <c r="L60" s="19">
        <f>Rev_Build!V25</f>
        <v/>
      </c>
      <c r="M60" s="19">
        <f>Rev_Build!W25</f>
        <v/>
      </c>
      <c r="N60" s="19">
        <f>Rev_Build!X25</f>
        <v/>
      </c>
      <c r="O60" s="19">
        <f>Rev_Build!Y25</f>
        <v/>
      </c>
      <c r="P60" s="19">
        <f>Rev_Build!Z25</f>
        <v/>
      </c>
      <c r="Q60" s="19">
        <f>Rev_Build!AA25</f>
        <v/>
      </c>
      <c r="R60" s="19">
        <f>Rev_Build!AB25</f>
        <v/>
      </c>
      <c r="S60" s="19">
        <f>Rev_Build!AC25</f>
        <v/>
      </c>
      <c r="T60" s="19">
        <f>Rev_Build!AD25</f>
        <v/>
      </c>
      <c r="U60" s="19">
        <f>Rev_Build!AE25</f>
        <v/>
      </c>
      <c r="V60" s="19">
        <f>Rev_Build!AF25</f>
        <v/>
      </c>
      <c r="W60" s="19">
        <f>Rev_Build!AG25</f>
        <v/>
      </c>
      <c r="X60" s="19">
        <f>Rev_Build!AH25</f>
        <v/>
      </c>
      <c r="Y60" s="19">
        <f>Rev_Build!AI25</f>
        <v/>
      </c>
      <c r="Z60" s="19">
        <f>Rev_Build!AJ25</f>
        <v/>
      </c>
      <c r="AA60" s="19">
        <f>Rev_Build!AK25</f>
        <v/>
      </c>
      <c r="AB60" s="19">
        <f>Rev_Build!AL25</f>
        <v/>
      </c>
      <c r="AC60" s="19">
        <f>Rev_Build!AN25</f>
        <v/>
      </c>
      <c r="AD60" s="19">
        <f>Rev_Build!AO25</f>
        <v/>
      </c>
    </row>
    <row r="61">
      <c r="A61" s="5" t="inlineStr">
        <is>
          <t>out_rb_arr_close_mid</t>
        </is>
      </c>
      <c r="B61" s="5" t="inlineStr">
        <is>
          <t>Rev_Build: Closing ARR</t>
        </is>
      </c>
      <c r="C61" s="2" t="inlineStr">
        <is>
          <t>GBP k</t>
        </is>
      </c>
      <c r="D61" s="19">
        <f>Rev_Build!N36</f>
        <v/>
      </c>
      <c r="E61" s="19">
        <f>Rev_Build!O36</f>
        <v/>
      </c>
      <c r="F61" s="19">
        <f>Rev_Build!P36</f>
        <v/>
      </c>
      <c r="G61" s="19">
        <f>Rev_Build!Q36</f>
        <v/>
      </c>
      <c r="H61" s="19">
        <f>Rev_Build!R36</f>
        <v/>
      </c>
      <c r="I61" s="19">
        <f>Rev_Build!S36</f>
        <v/>
      </c>
      <c r="J61" s="19">
        <f>Rev_Build!T36</f>
        <v/>
      </c>
      <c r="K61" s="19">
        <f>Rev_Build!U36</f>
        <v/>
      </c>
      <c r="L61" s="19">
        <f>Rev_Build!V36</f>
        <v/>
      </c>
      <c r="M61" s="19">
        <f>Rev_Build!W36</f>
        <v/>
      </c>
      <c r="N61" s="19">
        <f>Rev_Build!X36</f>
        <v/>
      </c>
      <c r="O61" s="19">
        <f>Rev_Build!Y36</f>
        <v/>
      </c>
      <c r="P61" s="19">
        <f>Rev_Build!Z36</f>
        <v/>
      </c>
      <c r="Q61" s="19">
        <f>Rev_Build!AA36</f>
        <v/>
      </c>
      <c r="R61" s="19">
        <f>Rev_Build!AB36</f>
        <v/>
      </c>
      <c r="S61" s="19">
        <f>Rev_Build!AC36</f>
        <v/>
      </c>
      <c r="T61" s="19">
        <f>Rev_Build!AD36</f>
        <v/>
      </c>
      <c r="U61" s="19">
        <f>Rev_Build!AE36</f>
        <v/>
      </c>
      <c r="V61" s="19">
        <f>Rev_Build!AF36</f>
        <v/>
      </c>
      <c r="W61" s="19">
        <f>Rev_Build!AG36</f>
        <v/>
      </c>
      <c r="X61" s="19">
        <f>Rev_Build!AH36</f>
        <v/>
      </c>
      <c r="Y61" s="19">
        <f>Rev_Build!AI36</f>
        <v/>
      </c>
      <c r="Z61" s="19">
        <f>Rev_Build!AJ36</f>
        <v/>
      </c>
      <c r="AA61" s="19">
        <f>Rev_Build!AK36</f>
        <v/>
      </c>
      <c r="AB61" s="19">
        <f>Rev_Build!AL36</f>
        <v/>
      </c>
      <c r="AC61" s="19">
        <f>Rev_Build!AN36</f>
        <v/>
      </c>
      <c r="AD61" s="19">
        <f>Rev_Build!AO36</f>
        <v/>
      </c>
    </row>
    <row r="62">
      <c r="A62" s="5" t="inlineStr">
        <is>
          <t>out_rb_arr_new_ent</t>
        </is>
      </c>
      <c r="B62" s="5" t="inlineStr">
        <is>
          <t>Rev_Build: + New logos</t>
        </is>
      </c>
      <c r="C62" s="2" t="inlineStr">
        <is>
          <t>GBP k</t>
        </is>
      </c>
      <c r="E62" s="19">
        <f>Rev_Build!O22</f>
        <v/>
      </c>
      <c r="F62" s="19">
        <f>Rev_Build!P22</f>
        <v/>
      </c>
      <c r="G62" s="19">
        <f>Rev_Build!Q22</f>
        <v/>
      </c>
      <c r="H62" s="19">
        <f>Rev_Build!R22</f>
        <v/>
      </c>
      <c r="I62" s="19">
        <f>Rev_Build!S22</f>
        <v/>
      </c>
      <c r="J62" s="19">
        <f>Rev_Build!T22</f>
        <v/>
      </c>
      <c r="K62" s="19">
        <f>Rev_Build!U22</f>
        <v/>
      </c>
      <c r="L62" s="19">
        <f>Rev_Build!V22</f>
        <v/>
      </c>
      <c r="M62" s="19">
        <f>Rev_Build!W22</f>
        <v/>
      </c>
      <c r="N62" s="19">
        <f>Rev_Build!X22</f>
        <v/>
      </c>
      <c r="O62" s="19">
        <f>Rev_Build!Y22</f>
        <v/>
      </c>
      <c r="P62" s="19">
        <f>Rev_Build!Z22</f>
        <v/>
      </c>
      <c r="Q62" s="19">
        <f>Rev_Build!AA22</f>
        <v/>
      </c>
      <c r="R62" s="19">
        <f>Rev_Build!AB22</f>
        <v/>
      </c>
      <c r="S62" s="19">
        <f>Rev_Build!AC22</f>
        <v/>
      </c>
      <c r="T62" s="19">
        <f>Rev_Build!AD22</f>
        <v/>
      </c>
      <c r="U62" s="19">
        <f>Rev_Build!AE22</f>
        <v/>
      </c>
      <c r="V62" s="19">
        <f>Rev_Build!AF22</f>
        <v/>
      </c>
      <c r="W62" s="19">
        <f>Rev_Build!AG22</f>
        <v/>
      </c>
      <c r="X62" s="19">
        <f>Rev_Build!AH22</f>
        <v/>
      </c>
      <c r="Y62" s="19">
        <f>Rev_Build!AI22</f>
        <v/>
      </c>
      <c r="Z62" s="19">
        <f>Rev_Build!AJ22</f>
        <v/>
      </c>
      <c r="AA62" s="19">
        <f>Rev_Build!AK22</f>
        <v/>
      </c>
      <c r="AB62" s="19">
        <f>Rev_Build!AL22</f>
        <v/>
      </c>
      <c r="AC62" s="19">
        <f>Rev_Build!AN22</f>
        <v/>
      </c>
      <c r="AD62" s="19">
        <f>Rev_Build!AO22</f>
        <v/>
      </c>
    </row>
    <row r="63">
      <c r="A63" s="5" t="inlineStr">
        <is>
          <t>out_rb_arr_new_mid</t>
        </is>
      </c>
      <c r="B63" s="5" t="inlineStr">
        <is>
          <t>Rev_Build: + New logos</t>
        </is>
      </c>
      <c r="C63" s="2" t="inlineStr">
        <is>
          <t>GBP k</t>
        </is>
      </c>
      <c r="E63" s="19">
        <f>Rev_Build!O33</f>
        <v/>
      </c>
      <c r="F63" s="19">
        <f>Rev_Build!P33</f>
        <v/>
      </c>
      <c r="G63" s="19">
        <f>Rev_Build!Q33</f>
        <v/>
      </c>
      <c r="H63" s="19">
        <f>Rev_Build!R33</f>
        <v/>
      </c>
      <c r="I63" s="19">
        <f>Rev_Build!S33</f>
        <v/>
      </c>
      <c r="J63" s="19">
        <f>Rev_Build!T33</f>
        <v/>
      </c>
      <c r="K63" s="19">
        <f>Rev_Build!U33</f>
        <v/>
      </c>
      <c r="L63" s="19">
        <f>Rev_Build!V33</f>
        <v/>
      </c>
      <c r="M63" s="19">
        <f>Rev_Build!W33</f>
        <v/>
      </c>
      <c r="N63" s="19">
        <f>Rev_Build!X33</f>
        <v/>
      </c>
      <c r="O63" s="19">
        <f>Rev_Build!Y33</f>
        <v/>
      </c>
      <c r="P63" s="19">
        <f>Rev_Build!Z33</f>
        <v/>
      </c>
      <c r="Q63" s="19">
        <f>Rev_Build!AA33</f>
        <v/>
      </c>
      <c r="R63" s="19">
        <f>Rev_Build!AB33</f>
        <v/>
      </c>
      <c r="S63" s="19">
        <f>Rev_Build!AC33</f>
        <v/>
      </c>
      <c r="T63" s="19">
        <f>Rev_Build!AD33</f>
        <v/>
      </c>
      <c r="U63" s="19">
        <f>Rev_Build!AE33</f>
        <v/>
      </c>
      <c r="V63" s="19">
        <f>Rev_Build!AF33</f>
        <v/>
      </c>
      <c r="W63" s="19">
        <f>Rev_Build!AG33</f>
        <v/>
      </c>
      <c r="X63" s="19">
        <f>Rev_Build!AH33</f>
        <v/>
      </c>
      <c r="Y63" s="19">
        <f>Rev_Build!AI33</f>
        <v/>
      </c>
      <c r="Z63" s="19">
        <f>Rev_Build!AJ33</f>
        <v/>
      </c>
      <c r="AA63" s="19">
        <f>Rev_Build!AK33</f>
        <v/>
      </c>
      <c r="AB63" s="19">
        <f>Rev_Build!AL33</f>
        <v/>
      </c>
      <c r="AC63" s="19">
        <f>Rev_Build!AN33</f>
        <v/>
      </c>
      <c r="AD63" s="19">
        <f>Rev_Build!AO33</f>
        <v/>
      </c>
    </row>
    <row r="64">
      <c r="A64" s="5" t="inlineStr">
        <is>
          <t>out_rb_arr_exp_ent</t>
        </is>
      </c>
      <c r="B64" s="5" t="inlineStr">
        <is>
          <t>Rev_Build: + Expansion</t>
        </is>
      </c>
      <c r="C64" s="2" t="inlineStr">
        <is>
          <t>GBP k</t>
        </is>
      </c>
      <c r="E64" s="19">
        <f>Rev_Build!O23</f>
        <v/>
      </c>
      <c r="F64" s="19">
        <f>Rev_Build!P23</f>
        <v/>
      </c>
      <c r="G64" s="19">
        <f>Rev_Build!Q23</f>
        <v/>
      </c>
      <c r="H64" s="19">
        <f>Rev_Build!R23</f>
        <v/>
      </c>
      <c r="I64" s="19">
        <f>Rev_Build!S23</f>
        <v/>
      </c>
      <c r="J64" s="19">
        <f>Rev_Build!T23</f>
        <v/>
      </c>
      <c r="K64" s="19">
        <f>Rev_Build!U23</f>
        <v/>
      </c>
      <c r="L64" s="19">
        <f>Rev_Build!V23</f>
        <v/>
      </c>
      <c r="M64" s="19">
        <f>Rev_Build!W23</f>
        <v/>
      </c>
      <c r="N64" s="19">
        <f>Rev_Build!X23</f>
        <v/>
      </c>
      <c r="O64" s="19">
        <f>Rev_Build!Y23</f>
        <v/>
      </c>
      <c r="P64" s="19">
        <f>Rev_Build!Z23</f>
        <v/>
      </c>
      <c r="Q64" s="19">
        <f>Rev_Build!AA23</f>
        <v/>
      </c>
      <c r="R64" s="19">
        <f>Rev_Build!AB23</f>
        <v/>
      </c>
      <c r="S64" s="19">
        <f>Rev_Build!AC23</f>
        <v/>
      </c>
      <c r="T64" s="19">
        <f>Rev_Build!AD23</f>
        <v/>
      </c>
      <c r="U64" s="19">
        <f>Rev_Build!AE23</f>
        <v/>
      </c>
      <c r="V64" s="19">
        <f>Rev_Build!AF23</f>
        <v/>
      </c>
      <c r="W64" s="19">
        <f>Rev_Build!AG23</f>
        <v/>
      </c>
      <c r="X64" s="19">
        <f>Rev_Build!AH23</f>
        <v/>
      </c>
      <c r="Y64" s="19">
        <f>Rev_Build!AI23</f>
        <v/>
      </c>
      <c r="Z64" s="19">
        <f>Rev_Build!AJ23</f>
        <v/>
      </c>
      <c r="AA64" s="19">
        <f>Rev_Build!AK23</f>
        <v/>
      </c>
      <c r="AB64" s="19">
        <f>Rev_Build!AL23</f>
        <v/>
      </c>
      <c r="AC64" s="19">
        <f>Rev_Build!AN23</f>
        <v/>
      </c>
      <c r="AD64" s="19">
        <f>Rev_Build!AO23</f>
        <v/>
      </c>
    </row>
    <row r="65">
      <c r="A65" s="5" t="inlineStr">
        <is>
          <t>out_rb_arr_exp_mid</t>
        </is>
      </c>
      <c r="B65" s="5" t="inlineStr">
        <is>
          <t>Rev_Build: + Expansion</t>
        </is>
      </c>
      <c r="C65" s="2" t="inlineStr">
        <is>
          <t>GBP k</t>
        </is>
      </c>
      <c r="E65" s="19">
        <f>Rev_Build!O34</f>
        <v/>
      </c>
      <c r="F65" s="19">
        <f>Rev_Build!P34</f>
        <v/>
      </c>
      <c r="G65" s="19">
        <f>Rev_Build!Q34</f>
        <v/>
      </c>
      <c r="H65" s="19">
        <f>Rev_Build!R34</f>
        <v/>
      </c>
      <c r="I65" s="19">
        <f>Rev_Build!S34</f>
        <v/>
      </c>
      <c r="J65" s="19">
        <f>Rev_Build!T34</f>
        <v/>
      </c>
      <c r="K65" s="19">
        <f>Rev_Build!U34</f>
        <v/>
      </c>
      <c r="L65" s="19">
        <f>Rev_Build!V34</f>
        <v/>
      </c>
      <c r="M65" s="19">
        <f>Rev_Build!W34</f>
        <v/>
      </c>
      <c r="N65" s="19">
        <f>Rev_Build!X34</f>
        <v/>
      </c>
      <c r="O65" s="19">
        <f>Rev_Build!Y34</f>
        <v/>
      </c>
      <c r="P65" s="19">
        <f>Rev_Build!Z34</f>
        <v/>
      </c>
      <c r="Q65" s="19">
        <f>Rev_Build!AA34</f>
        <v/>
      </c>
      <c r="R65" s="19">
        <f>Rev_Build!AB34</f>
        <v/>
      </c>
      <c r="S65" s="19">
        <f>Rev_Build!AC34</f>
        <v/>
      </c>
      <c r="T65" s="19">
        <f>Rev_Build!AD34</f>
        <v/>
      </c>
      <c r="U65" s="19">
        <f>Rev_Build!AE34</f>
        <v/>
      </c>
      <c r="V65" s="19">
        <f>Rev_Build!AF34</f>
        <v/>
      </c>
      <c r="W65" s="19">
        <f>Rev_Build!AG34</f>
        <v/>
      </c>
      <c r="X65" s="19">
        <f>Rev_Build!AH34</f>
        <v/>
      </c>
      <c r="Y65" s="19">
        <f>Rev_Build!AI34</f>
        <v/>
      </c>
      <c r="Z65" s="19">
        <f>Rev_Build!AJ34</f>
        <v/>
      </c>
      <c r="AA65" s="19">
        <f>Rev_Build!AK34</f>
        <v/>
      </c>
      <c r="AB65" s="19">
        <f>Rev_Build!AL34</f>
        <v/>
      </c>
      <c r="AC65" s="19">
        <f>Rev_Build!AN34</f>
        <v/>
      </c>
      <c r="AD65" s="19">
        <f>Rev_Build!AO34</f>
        <v/>
      </c>
    </row>
    <row r="66">
      <c r="A66" s="5" t="inlineStr">
        <is>
          <t>out_rb_arr_churn_ent</t>
        </is>
      </c>
      <c r="B66" s="5" t="inlineStr">
        <is>
          <t>Rev_Build: - Churn</t>
        </is>
      </c>
      <c r="C66" s="2" t="inlineStr">
        <is>
          <t>GBP k</t>
        </is>
      </c>
      <c r="E66" s="19">
        <f>Rev_Build!O24</f>
        <v/>
      </c>
      <c r="F66" s="19">
        <f>Rev_Build!P24</f>
        <v/>
      </c>
      <c r="G66" s="19">
        <f>Rev_Build!Q24</f>
        <v/>
      </c>
      <c r="H66" s="19">
        <f>Rev_Build!R24</f>
        <v/>
      </c>
      <c r="I66" s="19">
        <f>Rev_Build!S24</f>
        <v/>
      </c>
      <c r="J66" s="19">
        <f>Rev_Build!T24</f>
        <v/>
      </c>
      <c r="K66" s="19">
        <f>Rev_Build!U24</f>
        <v/>
      </c>
      <c r="L66" s="19">
        <f>Rev_Build!V24</f>
        <v/>
      </c>
      <c r="M66" s="19">
        <f>Rev_Build!W24</f>
        <v/>
      </c>
      <c r="N66" s="19">
        <f>Rev_Build!X24</f>
        <v/>
      </c>
      <c r="O66" s="19">
        <f>Rev_Build!Y24</f>
        <v/>
      </c>
      <c r="P66" s="19">
        <f>Rev_Build!Z24</f>
        <v/>
      </c>
      <c r="Q66" s="19">
        <f>Rev_Build!AA24</f>
        <v/>
      </c>
      <c r="R66" s="19">
        <f>Rev_Build!AB24</f>
        <v/>
      </c>
      <c r="S66" s="19">
        <f>Rev_Build!AC24</f>
        <v/>
      </c>
      <c r="T66" s="19">
        <f>Rev_Build!AD24</f>
        <v/>
      </c>
      <c r="U66" s="19">
        <f>Rev_Build!AE24</f>
        <v/>
      </c>
      <c r="V66" s="19">
        <f>Rev_Build!AF24</f>
        <v/>
      </c>
      <c r="W66" s="19">
        <f>Rev_Build!AG24</f>
        <v/>
      </c>
      <c r="X66" s="19">
        <f>Rev_Build!AH24</f>
        <v/>
      </c>
      <c r="Y66" s="19">
        <f>Rev_Build!AI24</f>
        <v/>
      </c>
      <c r="Z66" s="19">
        <f>Rev_Build!AJ24</f>
        <v/>
      </c>
      <c r="AA66" s="19">
        <f>Rev_Build!AK24</f>
        <v/>
      </c>
      <c r="AB66" s="19">
        <f>Rev_Build!AL24</f>
        <v/>
      </c>
      <c r="AC66" s="19">
        <f>Rev_Build!AN24</f>
        <v/>
      </c>
      <c r="AD66" s="19">
        <f>Rev_Build!AO24</f>
        <v/>
      </c>
    </row>
    <row r="67">
      <c r="A67" s="5" t="inlineStr">
        <is>
          <t>out_rb_arr_churn_mid</t>
        </is>
      </c>
      <c r="B67" s="5" t="inlineStr">
        <is>
          <t>Rev_Build: - Churn</t>
        </is>
      </c>
      <c r="C67" s="2" t="inlineStr">
        <is>
          <t>GBP k</t>
        </is>
      </c>
      <c r="E67" s="19">
        <f>Rev_Build!O35</f>
        <v/>
      </c>
      <c r="F67" s="19">
        <f>Rev_Build!P35</f>
        <v/>
      </c>
      <c r="G67" s="19">
        <f>Rev_Build!Q35</f>
        <v/>
      </c>
      <c r="H67" s="19">
        <f>Rev_Build!R35</f>
        <v/>
      </c>
      <c r="I67" s="19">
        <f>Rev_Build!S35</f>
        <v/>
      </c>
      <c r="J67" s="19">
        <f>Rev_Build!T35</f>
        <v/>
      </c>
      <c r="K67" s="19">
        <f>Rev_Build!U35</f>
        <v/>
      </c>
      <c r="L67" s="19">
        <f>Rev_Build!V35</f>
        <v/>
      </c>
      <c r="M67" s="19">
        <f>Rev_Build!W35</f>
        <v/>
      </c>
      <c r="N67" s="19">
        <f>Rev_Build!X35</f>
        <v/>
      </c>
      <c r="O67" s="19">
        <f>Rev_Build!Y35</f>
        <v/>
      </c>
      <c r="P67" s="19">
        <f>Rev_Build!Z35</f>
        <v/>
      </c>
      <c r="Q67" s="19">
        <f>Rev_Build!AA35</f>
        <v/>
      </c>
      <c r="R67" s="19">
        <f>Rev_Build!AB35</f>
        <v/>
      </c>
      <c r="S67" s="19">
        <f>Rev_Build!AC35</f>
        <v/>
      </c>
      <c r="T67" s="19">
        <f>Rev_Build!AD35</f>
        <v/>
      </c>
      <c r="U67" s="19">
        <f>Rev_Build!AE35</f>
        <v/>
      </c>
      <c r="V67" s="19">
        <f>Rev_Build!AF35</f>
        <v/>
      </c>
      <c r="W67" s="19">
        <f>Rev_Build!AG35</f>
        <v/>
      </c>
      <c r="X67" s="19">
        <f>Rev_Build!AH35</f>
        <v/>
      </c>
      <c r="Y67" s="19">
        <f>Rev_Build!AI35</f>
        <v/>
      </c>
      <c r="Z67" s="19">
        <f>Rev_Build!AJ35</f>
        <v/>
      </c>
      <c r="AA67" s="19">
        <f>Rev_Build!AK35</f>
        <v/>
      </c>
      <c r="AB67" s="19">
        <f>Rev_Build!AL35</f>
        <v/>
      </c>
      <c r="AC67" s="19">
        <f>Rev_Build!AN35</f>
        <v/>
      </c>
      <c r="AD67" s="19">
        <f>Rev_Build!AO35</f>
        <v/>
      </c>
    </row>
    <row r="68">
      <c r="A68" s="5" t="inlineStr">
        <is>
          <t>out_rb_cust_close_ent</t>
        </is>
      </c>
      <c r="B68" s="5" t="inlineStr">
        <is>
          <t>Rev_Build: Closing customers</t>
        </is>
      </c>
      <c r="C68" s="2" t="inlineStr">
        <is>
          <t>#</t>
        </is>
      </c>
      <c r="D68" s="15">
        <f>Rev_Build!N29</f>
        <v/>
      </c>
      <c r="E68" s="15">
        <f>Rev_Build!O29</f>
        <v/>
      </c>
      <c r="F68" s="15">
        <f>Rev_Build!P29</f>
        <v/>
      </c>
      <c r="G68" s="15">
        <f>Rev_Build!Q29</f>
        <v/>
      </c>
      <c r="H68" s="15">
        <f>Rev_Build!R29</f>
        <v/>
      </c>
      <c r="I68" s="15">
        <f>Rev_Build!S29</f>
        <v/>
      </c>
      <c r="J68" s="15">
        <f>Rev_Build!T29</f>
        <v/>
      </c>
      <c r="K68" s="15">
        <f>Rev_Build!U29</f>
        <v/>
      </c>
      <c r="L68" s="15">
        <f>Rev_Build!V29</f>
        <v/>
      </c>
      <c r="M68" s="15">
        <f>Rev_Build!W29</f>
        <v/>
      </c>
      <c r="N68" s="15">
        <f>Rev_Build!X29</f>
        <v/>
      </c>
      <c r="O68" s="15">
        <f>Rev_Build!Y29</f>
        <v/>
      </c>
      <c r="P68" s="15">
        <f>Rev_Build!Z29</f>
        <v/>
      </c>
      <c r="Q68" s="15">
        <f>Rev_Build!AA29</f>
        <v/>
      </c>
      <c r="R68" s="15">
        <f>Rev_Build!AB29</f>
        <v/>
      </c>
      <c r="S68" s="15">
        <f>Rev_Build!AC29</f>
        <v/>
      </c>
      <c r="T68" s="15">
        <f>Rev_Build!AD29</f>
        <v/>
      </c>
      <c r="U68" s="15">
        <f>Rev_Build!AE29</f>
        <v/>
      </c>
      <c r="V68" s="15">
        <f>Rev_Build!AF29</f>
        <v/>
      </c>
      <c r="W68" s="15">
        <f>Rev_Build!AG29</f>
        <v/>
      </c>
      <c r="X68" s="15">
        <f>Rev_Build!AH29</f>
        <v/>
      </c>
      <c r="Y68" s="15">
        <f>Rev_Build!AI29</f>
        <v/>
      </c>
      <c r="Z68" s="15">
        <f>Rev_Build!AJ29</f>
        <v/>
      </c>
      <c r="AA68" s="15">
        <f>Rev_Build!AK29</f>
        <v/>
      </c>
      <c r="AB68" s="15">
        <f>Rev_Build!AL29</f>
        <v/>
      </c>
      <c r="AC68" s="15">
        <f>Rev_Build!AN29</f>
        <v/>
      </c>
      <c r="AD68" s="15">
        <f>Rev_Build!AO29</f>
        <v/>
      </c>
    </row>
    <row r="69">
      <c r="A69" s="5" t="inlineStr">
        <is>
          <t>out_rb_cust_close_mid</t>
        </is>
      </c>
      <c r="B69" s="5" t="inlineStr">
        <is>
          <t>Rev_Build: Closing customers</t>
        </is>
      </c>
      <c r="C69" s="2" t="inlineStr">
        <is>
          <t>#</t>
        </is>
      </c>
      <c r="D69" s="15">
        <f>Rev_Build!N40</f>
        <v/>
      </c>
      <c r="E69" s="15">
        <f>Rev_Build!O40</f>
        <v/>
      </c>
      <c r="F69" s="15">
        <f>Rev_Build!P40</f>
        <v/>
      </c>
      <c r="G69" s="15">
        <f>Rev_Build!Q40</f>
        <v/>
      </c>
      <c r="H69" s="15">
        <f>Rev_Build!R40</f>
        <v/>
      </c>
      <c r="I69" s="15">
        <f>Rev_Build!S40</f>
        <v/>
      </c>
      <c r="J69" s="15">
        <f>Rev_Build!T40</f>
        <v/>
      </c>
      <c r="K69" s="15">
        <f>Rev_Build!U40</f>
        <v/>
      </c>
      <c r="L69" s="15">
        <f>Rev_Build!V40</f>
        <v/>
      </c>
      <c r="M69" s="15">
        <f>Rev_Build!W40</f>
        <v/>
      </c>
      <c r="N69" s="15">
        <f>Rev_Build!X40</f>
        <v/>
      </c>
      <c r="O69" s="15">
        <f>Rev_Build!Y40</f>
        <v/>
      </c>
      <c r="P69" s="15">
        <f>Rev_Build!Z40</f>
        <v/>
      </c>
      <c r="Q69" s="15">
        <f>Rev_Build!AA40</f>
        <v/>
      </c>
      <c r="R69" s="15">
        <f>Rev_Build!AB40</f>
        <v/>
      </c>
      <c r="S69" s="15">
        <f>Rev_Build!AC40</f>
        <v/>
      </c>
      <c r="T69" s="15">
        <f>Rev_Build!AD40</f>
        <v/>
      </c>
      <c r="U69" s="15">
        <f>Rev_Build!AE40</f>
        <v/>
      </c>
      <c r="V69" s="15">
        <f>Rev_Build!AF40</f>
        <v/>
      </c>
      <c r="W69" s="15">
        <f>Rev_Build!AG40</f>
        <v/>
      </c>
      <c r="X69" s="15">
        <f>Rev_Build!AH40</f>
        <v/>
      </c>
      <c r="Y69" s="15">
        <f>Rev_Build!AI40</f>
        <v/>
      </c>
      <c r="Z69" s="15">
        <f>Rev_Build!AJ40</f>
        <v/>
      </c>
      <c r="AA69" s="15">
        <f>Rev_Build!AK40</f>
        <v/>
      </c>
      <c r="AB69" s="15">
        <f>Rev_Build!AL40</f>
        <v/>
      </c>
      <c r="AC69" s="15">
        <f>Rev_Build!AN40</f>
        <v/>
      </c>
      <c r="AD69" s="15">
        <f>Rev_Build!AO40</f>
        <v/>
      </c>
    </row>
    <row r="70">
      <c r="A70" s="5" t="inlineStr">
        <is>
          <t>out_rr_inv_tot</t>
        </is>
      </c>
      <c r="B70" s="5" t="inlineStr">
        <is>
          <t>Rev_Rec: Total subscription invoices</t>
        </is>
      </c>
      <c r="C70" s="2" t="inlineStr">
        <is>
          <t>GBP k</t>
        </is>
      </c>
      <c r="D70" s="19">
        <f>Rev_Rec!N11</f>
        <v/>
      </c>
      <c r="E70" s="19">
        <f>Rev_Rec!O11</f>
        <v/>
      </c>
      <c r="F70" s="19">
        <f>Rev_Rec!P11</f>
        <v/>
      </c>
      <c r="G70" s="19">
        <f>Rev_Rec!Q11</f>
        <v/>
      </c>
      <c r="H70" s="19">
        <f>Rev_Rec!R11</f>
        <v/>
      </c>
      <c r="I70" s="19">
        <f>Rev_Rec!S11</f>
        <v/>
      </c>
      <c r="J70" s="19">
        <f>Rev_Rec!T11</f>
        <v/>
      </c>
      <c r="K70" s="19">
        <f>Rev_Rec!U11</f>
        <v/>
      </c>
      <c r="L70" s="19">
        <f>Rev_Rec!V11</f>
        <v/>
      </c>
      <c r="M70" s="19">
        <f>Rev_Rec!W11</f>
        <v/>
      </c>
      <c r="N70" s="19">
        <f>Rev_Rec!X11</f>
        <v/>
      </c>
      <c r="O70" s="19">
        <f>Rev_Rec!Y11</f>
        <v/>
      </c>
      <c r="P70" s="19">
        <f>Rev_Rec!Z11</f>
        <v/>
      </c>
      <c r="Q70" s="19">
        <f>Rev_Rec!AA11</f>
        <v/>
      </c>
      <c r="R70" s="19">
        <f>Rev_Rec!AB11</f>
        <v/>
      </c>
      <c r="S70" s="19">
        <f>Rev_Rec!AC11</f>
        <v/>
      </c>
      <c r="T70" s="19">
        <f>Rev_Rec!AD11</f>
        <v/>
      </c>
      <c r="U70" s="19">
        <f>Rev_Rec!AE11</f>
        <v/>
      </c>
      <c r="V70" s="19">
        <f>Rev_Rec!AF11</f>
        <v/>
      </c>
      <c r="W70" s="19">
        <f>Rev_Rec!AG11</f>
        <v/>
      </c>
      <c r="X70" s="19">
        <f>Rev_Rec!AH11</f>
        <v/>
      </c>
      <c r="Y70" s="19">
        <f>Rev_Rec!AI11</f>
        <v/>
      </c>
      <c r="Z70" s="19">
        <f>Rev_Rec!AJ11</f>
        <v/>
      </c>
      <c r="AA70" s="19">
        <f>Rev_Rec!AK11</f>
        <v/>
      </c>
      <c r="AB70" s="19">
        <f>Rev_Rec!AL11</f>
        <v/>
      </c>
      <c r="AC70" s="19">
        <f>Rev_Rec!AN11</f>
        <v/>
      </c>
      <c r="AD70" s="19">
        <f>Rev_Rec!AO11</f>
        <v/>
      </c>
    </row>
    <row r="71">
      <c r="A71" s="5" t="inlineStr">
        <is>
          <t>out_rr_fee_impl</t>
        </is>
      </c>
      <c r="B71" s="5" t="inlineStr">
        <is>
          <t>Rev_Rec: Implementation fees billed</t>
        </is>
      </c>
      <c r="C71" s="2" t="inlineStr">
        <is>
          <t>GBP k</t>
        </is>
      </c>
      <c r="E71" s="19">
        <f>Rev_Rec!O15</f>
        <v/>
      </c>
      <c r="F71" s="19">
        <f>Rev_Rec!P15</f>
        <v/>
      </c>
      <c r="G71" s="19">
        <f>Rev_Rec!Q15</f>
        <v/>
      </c>
      <c r="H71" s="19">
        <f>Rev_Rec!R15</f>
        <v/>
      </c>
      <c r="I71" s="19">
        <f>Rev_Rec!S15</f>
        <v/>
      </c>
      <c r="J71" s="19">
        <f>Rev_Rec!T15</f>
        <v/>
      </c>
      <c r="K71" s="19">
        <f>Rev_Rec!U15</f>
        <v/>
      </c>
      <c r="L71" s="19">
        <f>Rev_Rec!V15</f>
        <v/>
      </c>
      <c r="M71" s="19">
        <f>Rev_Rec!W15</f>
        <v/>
      </c>
      <c r="N71" s="19">
        <f>Rev_Rec!X15</f>
        <v/>
      </c>
      <c r="O71" s="19">
        <f>Rev_Rec!Y15</f>
        <v/>
      </c>
      <c r="P71" s="19">
        <f>Rev_Rec!Z15</f>
        <v/>
      </c>
      <c r="Q71" s="19">
        <f>Rev_Rec!AA15</f>
        <v/>
      </c>
      <c r="R71" s="19">
        <f>Rev_Rec!AB15</f>
        <v/>
      </c>
      <c r="S71" s="19">
        <f>Rev_Rec!AC15</f>
        <v/>
      </c>
      <c r="T71" s="19">
        <f>Rev_Rec!AD15</f>
        <v/>
      </c>
      <c r="U71" s="19">
        <f>Rev_Rec!AE15</f>
        <v/>
      </c>
      <c r="V71" s="19">
        <f>Rev_Rec!AF15</f>
        <v/>
      </c>
      <c r="W71" s="19">
        <f>Rev_Rec!AG15</f>
        <v/>
      </c>
      <c r="X71" s="19">
        <f>Rev_Rec!AH15</f>
        <v/>
      </c>
      <c r="Y71" s="19">
        <f>Rev_Rec!AI15</f>
        <v/>
      </c>
      <c r="Z71" s="19">
        <f>Rev_Rec!AJ15</f>
        <v/>
      </c>
      <c r="AA71" s="19">
        <f>Rev_Rec!AK15</f>
        <v/>
      </c>
      <c r="AB71" s="19">
        <f>Rev_Rec!AL15</f>
        <v/>
      </c>
      <c r="AC71" s="19">
        <f>Rev_Rec!AN15</f>
        <v/>
      </c>
      <c r="AD71" s="19">
        <f>Rev_Rec!AO15</f>
        <v/>
      </c>
    </row>
    <row r="72">
      <c r="A72" s="5" t="inlineStr">
        <is>
          <t>out_rr_bill_tot</t>
        </is>
      </c>
      <c r="B72" s="5" t="inlineStr">
        <is>
          <t>Rev_Rec: Total billings</t>
        </is>
      </c>
      <c r="C72" s="2" t="inlineStr">
        <is>
          <t>GBP k</t>
        </is>
      </c>
      <c r="D72" s="19">
        <f>Rev_Rec!N23</f>
        <v/>
      </c>
      <c r="E72" s="19">
        <f>Rev_Rec!O23</f>
        <v/>
      </c>
      <c r="F72" s="19">
        <f>Rev_Rec!P23</f>
        <v/>
      </c>
      <c r="G72" s="19">
        <f>Rev_Rec!Q23</f>
        <v/>
      </c>
      <c r="H72" s="19">
        <f>Rev_Rec!R23</f>
        <v/>
      </c>
      <c r="I72" s="19">
        <f>Rev_Rec!S23</f>
        <v/>
      </c>
      <c r="J72" s="19">
        <f>Rev_Rec!T23</f>
        <v/>
      </c>
      <c r="K72" s="19">
        <f>Rev_Rec!U23</f>
        <v/>
      </c>
      <c r="L72" s="19">
        <f>Rev_Rec!V23</f>
        <v/>
      </c>
      <c r="M72" s="19">
        <f>Rev_Rec!W23</f>
        <v/>
      </c>
      <c r="N72" s="19">
        <f>Rev_Rec!X23</f>
        <v/>
      </c>
      <c r="O72" s="19">
        <f>Rev_Rec!Y23</f>
        <v/>
      </c>
      <c r="P72" s="19">
        <f>Rev_Rec!Z23</f>
        <v/>
      </c>
      <c r="Q72" s="19">
        <f>Rev_Rec!AA23</f>
        <v/>
      </c>
      <c r="R72" s="19">
        <f>Rev_Rec!AB23</f>
        <v/>
      </c>
      <c r="S72" s="19">
        <f>Rev_Rec!AC23</f>
        <v/>
      </c>
      <c r="T72" s="19">
        <f>Rev_Rec!AD23</f>
        <v/>
      </c>
      <c r="U72" s="19">
        <f>Rev_Rec!AE23</f>
        <v/>
      </c>
      <c r="V72" s="19">
        <f>Rev_Rec!AF23</f>
        <v/>
      </c>
      <c r="W72" s="19">
        <f>Rev_Rec!AG23</f>
        <v/>
      </c>
      <c r="X72" s="19">
        <f>Rev_Rec!AH23</f>
        <v/>
      </c>
      <c r="Y72" s="19">
        <f>Rev_Rec!AI23</f>
        <v/>
      </c>
      <c r="Z72" s="19">
        <f>Rev_Rec!AJ23</f>
        <v/>
      </c>
      <c r="AA72" s="19">
        <f>Rev_Rec!AK23</f>
        <v/>
      </c>
      <c r="AB72" s="19">
        <f>Rev_Rec!AL23</f>
        <v/>
      </c>
      <c r="AC72" s="19">
        <f>Rev_Rec!AN23</f>
        <v/>
      </c>
      <c r="AD72" s="19">
        <f>Rev_Rec!AO23</f>
        <v/>
      </c>
    </row>
    <row r="73">
      <c r="A73" s="5" t="inlineStr">
        <is>
          <t>out_rr_rev_ent</t>
        </is>
      </c>
      <c r="B73" s="5" t="inlineStr">
        <is>
          <t>Rev_Rec: Subscription revenue - Enterprise (each invoice over 12 months)</t>
        </is>
      </c>
      <c r="C73" s="2" t="inlineStr">
        <is>
          <t>GBP k</t>
        </is>
      </c>
      <c r="E73" s="19">
        <f>Rev_Rec!O18</f>
        <v/>
      </c>
      <c r="F73" s="19">
        <f>Rev_Rec!P18</f>
        <v/>
      </c>
      <c r="G73" s="19">
        <f>Rev_Rec!Q18</f>
        <v/>
      </c>
      <c r="H73" s="19">
        <f>Rev_Rec!R18</f>
        <v/>
      </c>
      <c r="I73" s="19">
        <f>Rev_Rec!S18</f>
        <v/>
      </c>
      <c r="J73" s="19">
        <f>Rev_Rec!T18</f>
        <v/>
      </c>
      <c r="K73" s="19">
        <f>Rev_Rec!U18</f>
        <v/>
      </c>
      <c r="L73" s="19">
        <f>Rev_Rec!V18</f>
        <v/>
      </c>
      <c r="M73" s="19">
        <f>Rev_Rec!W18</f>
        <v/>
      </c>
      <c r="N73" s="19">
        <f>Rev_Rec!X18</f>
        <v/>
      </c>
      <c r="O73" s="19">
        <f>Rev_Rec!Y18</f>
        <v/>
      </c>
      <c r="P73" s="19">
        <f>Rev_Rec!Z18</f>
        <v/>
      </c>
      <c r="Q73" s="19">
        <f>Rev_Rec!AA18</f>
        <v/>
      </c>
      <c r="R73" s="19">
        <f>Rev_Rec!AB18</f>
        <v/>
      </c>
      <c r="S73" s="19">
        <f>Rev_Rec!AC18</f>
        <v/>
      </c>
      <c r="T73" s="19">
        <f>Rev_Rec!AD18</f>
        <v/>
      </c>
      <c r="U73" s="19">
        <f>Rev_Rec!AE18</f>
        <v/>
      </c>
      <c r="V73" s="19">
        <f>Rev_Rec!AF18</f>
        <v/>
      </c>
      <c r="W73" s="19">
        <f>Rev_Rec!AG18</f>
        <v/>
      </c>
      <c r="X73" s="19">
        <f>Rev_Rec!AH18</f>
        <v/>
      </c>
      <c r="Y73" s="19">
        <f>Rev_Rec!AI18</f>
        <v/>
      </c>
      <c r="Z73" s="19">
        <f>Rev_Rec!AJ18</f>
        <v/>
      </c>
      <c r="AA73" s="19">
        <f>Rev_Rec!AK18</f>
        <v/>
      </c>
      <c r="AB73" s="19">
        <f>Rev_Rec!AL18</f>
        <v/>
      </c>
      <c r="AC73" s="19">
        <f>Rev_Rec!AN18</f>
        <v/>
      </c>
      <c r="AD73" s="19">
        <f>Rev_Rec!AO18</f>
        <v/>
      </c>
    </row>
    <row r="74">
      <c r="A74" s="5" t="inlineStr">
        <is>
          <t>out_rr_rev_mid</t>
        </is>
      </c>
      <c r="B74" s="5" t="inlineStr">
        <is>
          <t>Rev_Rec: Subscription revenue - Mid-market (each invoice over 12 months)</t>
        </is>
      </c>
      <c r="C74" s="2" t="inlineStr">
        <is>
          <t>GBP k</t>
        </is>
      </c>
      <c r="E74" s="19">
        <f>Rev_Rec!O19</f>
        <v/>
      </c>
      <c r="F74" s="19">
        <f>Rev_Rec!P19</f>
        <v/>
      </c>
      <c r="G74" s="19">
        <f>Rev_Rec!Q19</f>
        <v/>
      </c>
      <c r="H74" s="19">
        <f>Rev_Rec!R19</f>
        <v/>
      </c>
      <c r="I74" s="19">
        <f>Rev_Rec!S19</f>
        <v/>
      </c>
      <c r="J74" s="19">
        <f>Rev_Rec!T19</f>
        <v/>
      </c>
      <c r="K74" s="19">
        <f>Rev_Rec!U19</f>
        <v/>
      </c>
      <c r="L74" s="19">
        <f>Rev_Rec!V19</f>
        <v/>
      </c>
      <c r="M74" s="19">
        <f>Rev_Rec!W19</f>
        <v/>
      </c>
      <c r="N74" s="19">
        <f>Rev_Rec!X19</f>
        <v/>
      </c>
      <c r="O74" s="19">
        <f>Rev_Rec!Y19</f>
        <v/>
      </c>
      <c r="P74" s="19">
        <f>Rev_Rec!Z19</f>
        <v/>
      </c>
      <c r="Q74" s="19">
        <f>Rev_Rec!AA19</f>
        <v/>
      </c>
      <c r="R74" s="19">
        <f>Rev_Rec!AB19</f>
        <v/>
      </c>
      <c r="S74" s="19">
        <f>Rev_Rec!AC19</f>
        <v/>
      </c>
      <c r="T74" s="19">
        <f>Rev_Rec!AD19</f>
        <v/>
      </c>
      <c r="U74" s="19">
        <f>Rev_Rec!AE19</f>
        <v/>
      </c>
      <c r="V74" s="19">
        <f>Rev_Rec!AF19</f>
        <v/>
      </c>
      <c r="W74" s="19">
        <f>Rev_Rec!AG19</f>
        <v/>
      </c>
      <c r="X74" s="19">
        <f>Rev_Rec!AH19</f>
        <v/>
      </c>
      <c r="Y74" s="19">
        <f>Rev_Rec!AI19</f>
        <v/>
      </c>
      <c r="Z74" s="19">
        <f>Rev_Rec!AJ19</f>
        <v/>
      </c>
      <c r="AA74" s="19">
        <f>Rev_Rec!AK19</f>
        <v/>
      </c>
      <c r="AB74" s="19">
        <f>Rev_Rec!AL19</f>
        <v/>
      </c>
      <c r="AC74" s="19">
        <f>Rev_Rec!AN19</f>
        <v/>
      </c>
      <c r="AD74" s="19">
        <f>Rev_Rec!AO19</f>
        <v/>
      </c>
    </row>
    <row r="75">
      <c r="A75" s="5" t="inlineStr">
        <is>
          <t>out_rr_rev_sub</t>
        </is>
      </c>
      <c r="B75" s="5" t="inlineStr">
        <is>
          <t>Rev_Rec: Total subscription revenue</t>
        </is>
      </c>
      <c r="C75" s="2" t="inlineStr">
        <is>
          <t>GBP k</t>
        </is>
      </c>
      <c r="E75" s="19">
        <f>Rev_Rec!O20</f>
        <v/>
      </c>
      <c r="F75" s="19">
        <f>Rev_Rec!P20</f>
        <v/>
      </c>
      <c r="G75" s="19">
        <f>Rev_Rec!Q20</f>
        <v/>
      </c>
      <c r="H75" s="19">
        <f>Rev_Rec!R20</f>
        <v/>
      </c>
      <c r="I75" s="19">
        <f>Rev_Rec!S20</f>
        <v/>
      </c>
      <c r="J75" s="19">
        <f>Rev_Rec!T20</f>
        <v/>
      </c>
      <c r="K75" s="19">
        <f>Rev_Rec!U20</f>
        <v/>
      </c>
      <c r="L75" s="19">
        <f>Rev_Rec!V20</f>
        <v/>
      </c>
      <c r="M75" s="19">
        <f>Rev_Rec!W20</f>
        <v/>
      </c>
      <c r="N75" s="19">
        <f>Rev_Rec!X20</f>
        <v/>
      </c>
      <c r="O75" s="19">
        <f>Rev_Rec!Y20</f>
        <v/>
      </c>
      <c r="P75" s="19">
        <f>Rev_Rec!Z20</f>
        <v/>
      </c>
      <c r="Q75" s="19">
        <f>Rev_Rec!AA20</f>
        <v/>
      </c>
      <c r="R75" s="19">
        <f>Rev_Rec!AB20</f>
        <v/>
      </c>
      <c r="S75" s="19">
        <f>Rev_Rec!AC20</f>
        <v/>
      </c>
      <c r="T75" s="19">
        <f>Rev_Rec!AD20</f>
        <v/>
      </c>
      <c r="U75" s="19">
        <f>Rev_Rec!AE20</f>
        <v/>
      </c>
      <c r="V75" s="19">
        <f>Rev_Rec!AF20</f>
        <v/>
      </c>
      <c r="W75" s="19">
        <f>Rev_Rec!AG20</f>
        <v/>
      </c>
      <c r="X75" s="19">
        <f>Rev_Rec!AH20</f>
        <v/>
      </c>
      <c r="Y75" s="19">
        <f>Rev_Rec!AI20</f>
        <v/>
      </c>
      <c r="Z75" s="19">
        <f>Rev_Rec!AJ20</f>
        <v/>
      </c>
      <c r="AA75" s="19">
        <f>Rev_Rec!AK20</f>
        <v/>
      </c>
      <c r="AB75" s="19">
        <f>Rev_Rec!AL20</f>
        <v/>
      </c>
      <c r="AC75" s="19">
        <f>Rev_Rec!AN20</f>
        <v/>
      </c>
      <c r="AD75" s="19">
        <f>Rev_Rec!AO20</f>
        <v/>
      </c>
    </row>
    <row r="76">
      <c r="A76" s="5" t="inlineStr">
        <is>
          <t>out_rr_rev_impl</t>
        </is>
      </c>
      <c r="B76" s="5" t="inlineStr">
        <is>
          <t>Rev_Rec: Implementation revenue</t>
        </is>
      </c>
      <c r="C76" s="2" t="inlineStr">
        <is>
          <t>GBP k</t>
        </is>
      </c>
      <c r="E76" s="19">
        <f>Rev_Rec!O21</f>
        <v/>
      </c>
      <c r="F76" s="19">
        <f>Rev_Rec!P21</f>
        <v/>
      </c>
      <c r="G76" s="19">
        <f>Rev_Rec!Q21</f>
        <v/>
      </c>
      <c r="H76" s="19">
        <f>Rev_Rec!R21</f>
        <v/>
      </c>
      <c r="I76" s="19">
        <f>Rev_Rec!S21</f>
        <v/>
      </c>
      <c r="J76" s="19">
        <f>Rev_Rec!T21</f>
        <v/>
      </c>
      <c r="K76" s="19">
        <f>Rev_Rec!U21</f>
        <v/>
      </c>
      <c r="L76" s="19">
        <f>Rev_Rec!V21</f>
        <v/>
      </c>
      <c r="M76" s="19">
        <f>Rev_Rec!W21</f>
        <v/>
      </c>
      <c r="N76" s="19">
        <f>Rev_Rec!X21</f>
        <v/>
      </c>
      <c r="O76" s="19">
        <f>Rev_Rec!Y21</f>
        <v/>
      </c>
      <c r="P76" s="19">
        <f>Rev_Rec!Z21</f>
        <v/>
      </c>
      <c r="Q76" s="19">
        <f>Rev_Rec!AA21</f>
        <v/>
      </c>
      <c r="R76" s="19">
        <f>Rev_Rec!AB21</f>
        <v/>
      </c>
      <c r="S76" s="19">
        <f>Rev_Rec!AC21</f>
        <v/>
      </c>
      <c r="T76" s="19">
        <f>Rev_Rec!AD21</f>
        <v/>
      </c>
      <c r="U76" s="19">
        <f>Rev_Rec!AE21</f>
        <v/>
      </c>
      <c r="V76" s="19">
        <f>Rev_Rec!AF21</f>
        <v/>
      </c>
      <c r="W76" s="19">
        <f>Rev_Rec!AG21</f>
        <v/>
      </c>
      <c r="X76" s="19">
        <f>Rev_Rec!AH21</f>
        <v/>
      </c>
      <c r="Y76" s="19">
        <f>Rev_Rec!AI21</f>
        <v/>
      </c>
      <c r="Z76" s="19">
        <f>Rev_Rec!AJ21</f>
        <v/>
      </c>
      <c r="AA76" s="19">
        <f>Rev_Rec!AK21</f>
        <v/>
      </c>
      <c r="AB76" s="19">
        <f>Rev_Rec!AL21</f>
        <v/>
      </c>
      <c r="AC76" s="19">
        <f>Rev_Rec!AN21</f>
        <v/>
      </c>
      <c r="AD76" s="19">
        <f>Rev_Rec!AO21</f>
        <v/>
      </c>
    </row>
    <row r="77">
      <c r="A77" s="5" t="inlineStr">
        <is>
          <t>out_rr_rev_tot</t>
        </is>
      </c>
      <c r="B77" s="5" t="inlineStr">
        <is>
          <t>Rev_Rec: Total revenue</t>
        </is>
      </c>
      <c r="C77" s="2" t="inlineStr">
        <is>
          <t>GBP k</t>
        </is>
      </c>
      <c r="E77" s="19">
        <f>Rev_Rec!O22</f>
        <v/>
      </c>
      <c r="F77" s="19">
        <f>Rev_Rec!P22</f>
        <v/>
      </c>
      <c r="G77" s="19">
        <f>Rev_Rec!Q22</f>
        <v/>
      </c>
      <c r="H77" s="19">
        <f>Rev_Rec!R22</f>
        <v/>
      </c>
      <c r="I77" s="19">
        <f>Rev_Rec!S22</f>
        <v/>
      </c>
      <c r="J77" s="19">
        <f>Rev_Rec!T22</f>
        <v/>
      </c>
      <c r="K77" s="19">
        <f>Rev_Rec!U22</f>
        <v/>
      </c>
      <c r="L77" s="19">
        <f>Rev_Rec!V22</f>
        <v/>
      </c>
      <c r="M77" s="19">
        <f>Rev_Rec!W22</f>
        <v/>
      </c>
      <c r="N77" s="19">
        <f>Rev_Rec!X22</f>
        <v/>
      </c>
      <c r="O77" s="19">
        <f>Rev_Rec!Y22</f>
        <v/>
      </c>
      <c r="P77" s="19">
        <f>Rev_Rec!Z22</f>
        <v/>
      </c>
      <c r="Q77" s="19">
        <f>Rev_Rec!AA22</f>
        <v/>
      </c>
      <c r="R77" s="19">
        <f>Rev_Rec!AB22</f>
        <v/>
      </c>
      <c r="S77" s="19">
        <f>Rev_Rec!AC22</f>
        <v/>
      </c>
      <c r="T77" s="19">
        <f>Rev_Rec!AD22</f>
        <v/>
      </c>
      <c r="U77" s="19">
        <f>Rev_Rec!AE22</f>
        <v/>
      </c>
      <c r="V77" s="19">
        <f>Rev_Rec!AF22</f>
        <v/>
      </c>
      <c r="W77" s="19">
        <f>Rev_Rec!AG22</f>
        <v/>
      </c>
      <c r="X77" s="19">
        <f>Rev_Rec!AH22</f>
        <v/>
      </c>
      <c r="Y77" s="19">
        <f>Rev_Rec!AI22</f>
        <v/>
      </c>
      <c r="Z77" s="19">
        <f>Rev_Rec!AJ22</f>
        <v/>
      </c>
      <c r="AA77" s="19">
        <f>Rev_Rec!AK22</f>
        <v/>
      </c>
      <c r="AB77" s="19">
        <f>Rev_Rec!AL22</f>
        <v/>
      </c>
      <c r="AC77" s="19">
        <f>Rev_Rec!AN22</f>
        <v/>
      </c>
      <c r="AD77" s="19">
        <f>Rev_Rec!AO22</f>
        <v/>
      </c>
    </row>
    <row r="78">
      <c r="A78" s="5" t="inlineStr">
        <is>
          <t>out_rr_def_sub_close</t>
        </is>
      </c>
      <c r="B78" s="5" t="inlineStr">
        <is>
          <t>Rev_Rec: Subscription: closing</t>
        </is>
      </c>
      <c r="C78" s="2" t="inlineStr">
        <is>
          <t>GBP k</t>
        </is>
      </c>
      <c r="D78" s="19">
        <f>Rev_Rec!N29</f>
        <v/>
      </c>
      <c r="E78" s="19">
        <f>Rev_Rec!O29</f>
        <v/>
      </c>
      <c r="F78" s="19">
        <f>Rev_Rec!P29</f>
        <v/>
      </c>
      <c r="G78" s="19">
        <f>Rev_Rec!Q29</f>
        <v/>
      </c>
      <c r="H78" s="19">
        <f>Rev_Rec!R29</f>
        <v/>
      </c>
      <c r="I78" s="19">
        <f>Rev_Rec!S29</f>
        <v/>
      </c>
      <c r="J78" s="19">
        <f>Rev_Rec!T29</f>
        <v/>
      </c>
      <c r="K78" s="19">
        <f>Rev_Rec!U29</f>
        <v/>
      </c>
      <c r="L78" s="19">
        <f>Rev_Rec!V29</f>
        <v/>
      </c>
      <c r="M78" s="19">
        <f>Rev_Rec!W29</f>
        <v/>
      </c>
      <c r="N78" s="19">
        <f>Rev_Rec!X29</f>
        <v/>
      </c>
      <c r="O78" s="19">
        <f>Rev_Rec!Y29</f>
        <v/>
      </c>
      <c r="P78" s="19">
        <f>Rev_Rec!Z29</f>
        <v/>
      </c>
      <c r="Q78" s="19">
        <f>Rev_Rec!AA29</f>
        <v/>
      </c>
      <c r="R78" s="19">
        <f>Rev_Rec!AB29</f>
        <v/>
      </c>
      <c r="S78" s="19">
        <f>Rev_Rec!AC29</f>
        <v/>
      </c>
      <c r="T78" s="19">
        <f>Rev_Rec!AD29</f>
        <v/>
      </c>
      <c r="U78" s="19">
        <f>Rev_Rec!AE29</f>
        <v/>
      </c>
      <c r="V78" s="19">
        <f>Rev_Rec!AF29</f>
        <v/>
      </c>
      <c r="W78" s="19">
        <f>Rev_Rec!AG29</f>
        <v/>
      </c>
      <c r="X78" s="19">
        <f>Rev_Rec!AH29</f>
        <v/>
      </c>
      <c r="Y78" s="19">
        <f>Rev_Rec!AI29</f>
        <v/>
      </c>
      <c r="Z78" s="19">
        <f>Rev_Rec!AJ29</f>
        <v/>
      </c>
      <c r="AA78" s="19">
        <f>Rev_Rec!AK29</f>
        <v/>
      </c>
      <c r="AB78" s="19">
        <f>Rev_Rec!AL29</f>
        <v/>
      </c>
      <c r="AC78" s="19">
        <f>Rev_Rec!AN29</f>
        <v/>
      </c>
      <c r="AD78" s="19">
        <f>Rev_Rec!AO29</f>
        <v/>
      </c>
    </row>
    <row r="79">
      <c r="A79" s="5" t="inlineStr">
        <is>
          <t>out_rr_def_imp_close</t>
        </is>
      </c>
      <c r="B79" s="5" t="inlineStr">
        <is>
          <t>Rev_Rec: Implementation: closing</t>
        </is>
      </c>
      <c r="C79" s="2" t="inlineStr">
        <is>
          <t>GBP k</t>
        </is>
      </c>
      <c r="D79" s="19">
        <f>Rev_Rec!N33</f>
        <v/>
      </c>
      <c r="E79" s="19">
        <f>Rev_Rec!O33</f>
        <v/>
      </c>
      <c r="F79" s="19">
        <f>Rev_Rec!P33</f>
        <v/>
      </c>
      <c r="G79" s="19">
        <f>Rev_Rec!Q33</f>
        <v/>
      </c>
      <c r="H79" s="19">
        <f>Rev_Rec!R33</f>
        <v/>
      </c>
      <c r="I79" s="19">
        <f>Rev_Rec!S33</f>
        <v/>
      </c>
      <c r="J79" s="19">
        <f>Rev_Rec!T33</f>
        <v/>
      </c>
      <c r="K79" s="19">
        <f>Rev_Rec!U33</f>
        <v/>
      </c>
      <c r="L79" s="19">
        <f>Rev_Rec!V33</f>
        <v/>
      </c>
      <c r="M79" s="19">
        <f>Rev_Rec!W33</f>
        <v/>
      </c>
      <c r="N79" s="19">
        <f>Rev_Rec!X33</f>
        <v/>
      </c>
      <c r="O79" s="19">
        <f>Rev_Rec!Y33</f>
        <v/>
      </c>
      <c r="P79" s="19">
        <f>Rev_Rec!Z33</f>
        <v/>
      </c>
      <c r="Q79" s="19">
        <f>Rev_Rec!AA33</f>
        <v/>
      </c>
      <c r="R79" s="19">
        <f>Rev_Rec!AB33</f>
        <v/>
      </c>
      <c r="S79" s="19">
        <f>Rev_Rec!AC33</f>
        <v/>
      </c>
      <c r="T79" s="19">
        <f>Rev_Rec!AD33</f>
        <v/>
      </c>
      <c r="U79" s="19">
        <f>Rev_Rec!AE33</f>
        <v/>
      </c>
      <c r="V79" s="19">
        <f>Rev_Rec!AF33</f>
        <v/>
      </c>
      <c r="W79" s="19">
        <f>Rev_Rec!AG33</f>
        <v/>
      </c>
      <c r="X79" s="19">
        <f>Rev_Rec!AH33</f>
        <v/>
      </c>
      <c r="Y79" s="19">
        <f>Rev_Rec!AI33</f>
        <v/>
      </c>
      <c r="Z79" s="19">
        <f>Rev_Rec!AJ33</f>
        <v/>
      </c>
      <c r="AA79" s="19">
        <f>Rev_Rec!AK33</f>
        <v/>
      </c>
      <c r="AB79" s="19">
        <f>Rev_Rec!AL33</f>
        <v/>
      </c>
      <c r="AC79" s="19">
        <f>Rev_Rec!AN33</f>
        <v/>
      </c>
      <c r="AD79" s="19">
        <f>Rev_Rec!AO33</f>
        <v/>
      </c>
    </row>
    <row r="80">
      <c r="A80" s="5" t="inlineStr">
        <is>
          <t>out_rr_def_tot</t>
        </is>
      </c>
      <c r="B80" s="5" t="inlineStr">
        <is>
          <t>Rev_Rec: Total deferred revenue</t>
        </is>
      </c>
      <c r="C80" s="2" t="inlineStr">
        <is>
          <t>GBP k</t>
        </is>
      </c>
      <c r="D80" s="19">
        <f>Rev_Rec!N34</f>
        <v/>
      </c>
      <c r="E80" s="19">
        <f>Rev_Rec!O34</f>
        <v/>
      </c>
      <c r="F80" s="19">
        <f>Rev_Rec!P34</f>
        <v/>
      </c>
      <c r="G80" s="19">
        <f>Rev_Rec!Q34</f>
        <v/>
      </c>
      <c r="H80" s="19">
        <f>Rev_Rec!R34</f>
        <v/>
      </c>
      <c r="I80" s="19">
        <f>Rev_Rec!S34</f>
        <v/>
      </c>
      <c r="J80" s="19">
        <f>Rev_Rec!T34</f>
        <v/>
      </c>
      <c r="K80" s="19">
        <f>Rev_Rec!U34</f>
        <v/>
      </c>
      <c r="L80" s="19">
        <f>Rev_Rec!V34</f>
        <v/>
      </c>
      <c r="M80" s="19">
        <f>Rev_Rec!W34</f>
        <v/>
      </c>
      <c r="N80" s="19">
        <f>Rev_Rec!X34</f>
        <v/>
      </c>
      <c r="O80" s="19">
        <f>Rev_Rec!Y34</f>
        <v/>
      </c>
      <c r="P80" s="19">
        <f>Rev_Rec!Z34</f>
        <v/>
      </c>
      <c r="Q80" s="19">
        <f>Rev_Rec!AA34</f>
        <v/>
      </c>
      <c r="R80" s="19">
        <f>Rev_Rec!AB34</f>
        <v/>
      </c>
      <c r="S80" s="19">
        <f>Rev_Rec!AC34</f>
        <v/>
      </c>
      <c r="T80" s="19">
        <f>Rev_Rec!AD34</f>
        <v/>
      </c>
      <c r="U80" s="19">
        <f>Rev_Rec!AE34</f>
        <v/>
      </c>
      <c r="V80" s="19">
        <f>Rev_Rec!AF34</f>
        <v/>
      </c>
      <c r="W80" s="19">
        <f>Rev_Rec!AG34</f>
        <v/>
      </c>
      <c r="X80" s="19">
        <f>Rev_Rec!AH34</f>
        <v/>
      </c>
      <c r="Y80" s="19">
        <f>Rev_Rec!AI34</f>
        <v/>
      </c>
      <c r="Z80" s="19">
        <f>Rev_Rec!AJ34</f>
        <v/>
      </c>
      <c r="AA80" s="19">
        <f>Rev_Rec!AK34</f>
        <v/>
      </c>
      <c r="AB80" s="19">
        <f>Rev_Rec!AL34</f>
        <v/>
      </c>
      <c r="AC80" s="19">
        <f>Rev_Rec!AN34</f>
        <v/>
      </c>
      <c r="AD80" s="19">
        <f>Rev_Rec!AO34</f>
        <v/>
      </c>
    </row>
    <row r="81">
      <c r="A81" s="5" t="inlineStr">
        <is>
          <t>out_rr_ar</t>
        </is>
      </c>
      <c r="B81" s="5" t="inlineStr">
        <is>
          <t>Rev_Rec: Trade receivables</t>
        </is>
      </c>
      <c r="C81" s="2" t="inlineStr">
        <is>
          <t>GBP k</t>
        </is>
      </c>
      <c r="D81" s="19">
        <f>Rev_Rec!N37</f>
        <v/>
      </c>
      <c r="E81" s="19">
        <f>Rev_Rec!O37</f>
        <v/>
      </c>
      <c r="F81" s="19">
        <f>Rev_Rec!P37</f>
        <v/>
      </c>
      <c r="G81" s="19">
        <f>Rev_Rec!Q37</f>
        <v/>
      </c>
      <c r="H81" s="19">
        <f>Rev_Rec!R37</f>
        <v/>
      </c>
      <c r="I81" s="19">
        <f>Rev_Rec!S37</f>
        <v/>
      </c>
      <c r="J81" s="19">
        <f>Rev_Rec!T37</f>
        <v/>
      </c>
      <c r="K81" s="19">
        <f>Rev_Rec!U37</f>
        <v/>
      </c>
      <c r="L81" s="19">
        <f>Rev_Rec!V37</f>
        <v/>
      </c>
      <c r="M81" s="19">
        <f>Rev_Rec!W37</f>
        <v/>
      </c>
      <c r="N81" s="19">
        <f>Rev_Rec!X37</f>
        <v/>
      </c>
      <c r="O81" s="19">
        <f>Rev_Rec!Y37</f>
        <v/>
      </c>
      <c r="P81" s="19">
        <f>Rev_Rec!Z37</f>
        <v/>
      </c>
      <c r="Q81" s="19">
        <f>Rev_Rec!AA37</f>
        <v/>
      </c>
      <c r="R81" s="19">
        <f>Rev_Rec!AB37</f>
        <v/>
      </c>
      <c r="S81" s="19">
        <f>Rev_Rec!AC37</f>
        <v/>
      </c>
      <c r="T81" s="19">
        <f>Rev_Rec!AD37</f>
        <v/>
      </c>
      <c r="U81" s="19">
        <f>Rev_Rec!AE37</f>
        <v/>
      </c>
      <c r="V81" s="19">
        <f>Rev_Rec!AF37</f>
        <v/>
      </c>
      <c r="W81" s="19">
        <f>Rev_Rec!AG37</f>
        <v/>
      </c>
      <c r="X81" s="19">
        <f>Rev_Rec!AH37</f>
        <v/>
      </c>
      <c r="Y81" s="19">
        <f>Rev_Rec!AI37</f>
        <v/>
      </c>
      <c r="Z81" s="19">
        <f>Rev_Rec!AJ37</f>
        <v/>
      </c>
      <c r="AA81" s="19">
        <f>Rev_Rec!AK37</f>
        <v/>
      </c>
      <c r="AB81" s="19">
        <f>Rev_Rec!AL37</f>
        <v/>
      </c>
      <c r="AC81" s="19">
        <f>Rev_Rec!AN37</f>
        <v/>
      </c>
      <c r="AD81" s="19">
        <f>Rev_Rec!AO37</f>
        <v/>
      </c>
    </row>
    <row r="82">
      <c r="A82" s="5" t="inlineStr">
        <is>
          <t>out_hc_h_close_rd</t>
        </is>
      </c>
      <c r="B82" s="5" t="inlineStr">
        <is>
          <t>Headcount_Opex: Closing FTE</t>
        </is>
      </c>
      <c r="C82" s="2" t="inlineStr">
        <is>
          <t>FTE</t>
        </is>
      </c>
      <c r="D82" s="15">
        <f>Headcount_Opex!N11</f>
        <v/>
      </c>
      <c r="E82" s="15">
        <f>Headcount_Opex!O11</f>
        <v/>
      </c>
      <c r="F82" s="15">
        <f>Headcount_Opex!P11</f>
        <v/>
      </c>
      <c r="G82" s="15">
        <f>Headcount_Opex!Q11</f>
        <v/>
      </c>
      <c r="H82" s="15">
        <f>Headcount_Opex!R11</f>
        <v/>
      </c>
      <c r="I82" s="15">
        <f>Headcount_Opex!S11</f>
        <v/>
      </c>
      <c r="J82" s="15">
        <f>Headcount_Opex!T11</f>
        <v/>
      </c>
      <c r="K82" s="15">
        <f>Headcount_Opex!U11</f>
        <v/>
      </c>
      <c r="L82" s="15">
        <f>Headcount_Opex!V11</f>
        <v/>
      </c>
      <c r="M82" s="15">
        <f>Headcount_Opex!W11</f>
        <v/>
      </c>
      <c r="N82" s="15">
        <f>Headcount_Opex!X11</f>
        <v/>
      </c>
      <c r="O82" s="15">
        <f>Headcount_Opex!Y11</f>
        <v/>
      </c>
      <c r="P82" s="15">
        <f>Headcount_Opex!Z11</f>
        <v/>
      </c>
      <c r="Q82" s="15">
        <f>Headcount_Opex!AA11</f>
        <v/>
      </c>
      <c r="R82" s="15">
        <f>Headcount_Opex!AB11</f>
        <v/>
      </c>
      <c r="S82" s="15">
        <f>Headcount_Opex!AC11</f>
        <v/>
      </c>
      <c r="T82" s="15">
        <f>Headcount_Opex!AD11</f>
        <v/>
      </c>
      <c r="U82" s="15">
        <f>Headcount_Opex!AE11</f>
        <v/>
      </c>
      <c r="V82" s="15">
        <f>Headcount_Opex!AF11</f>
        <v/>
      </c>
      <c r="W82" s="15">
        <f>Headcount_Opex!AG11</f>
        <v/>
      </c>
      <c r="X82" s="15">
        <f>Headcount_Opex!AH11</f>
        <v/>
      </c>
      <c r="Y82" s="15">
        <f>Headcount_Opex!AI11</f>
        <v/>
      </c>
      <c r="Z82" s="15">
        <f>Headcount_Opex!AJ11</f>
        <v/>
      </c>
      <c r="AA82" s="15">
        <f>Headcount_Opex!AK11</f>
        <v/>
      </c>
      <c r="AB82" s="15">
        <f>Headcount_Opex!AL11</f>
        <v/>
      </c>
      <c r="AC82" s="15">
        <f>Headcount_Opex!AN11</f>
        <v/>
      </c>
      <c r="AD82" s="15">
        <f>Headcount_Opex!AO11</f>
        <v/>
      </c>
    </row>
    <row r="83">
      <c r="A83" s="5" t="inlineStr">
        <is>
          <t>out_hc_h_close_sm</t>
        </is>
      </c>
      <c r="B83" s="5" t="inlineStr">
        <is>
          <t>Headcount_Opex: Closing FTE</t>
        </is>
      </c>
      <c r="C83" s="2" t="inlineStr">
        <is>
          <t>FTE</t>
        </is>
      </c>
      <c r="D83" s="15">
        <f>Headcount_Opex!N17</f>
        <v/>
      </c>
      <c r="E83" s="15">
        <f>Headcount_Opex!O17</f>
        <v/>
      </c>
      <c r="F83" s="15">
        <f>Headcount_Opex!P17</f>
        <v/>
      </c>
      <c r="G83" s="15">
        <f>Headcount_Opex!Q17</f>
        <v/>
      </c>
      <c r="H83" s="15">
        <f>Headcount_Opex!R17</f>
        <v/>
      </c>
      <c r="I83" s="15">
        <f>Headcount_Opex!S17</f>
        <v/>
      </c>
      <c r="J83" s="15">
        <f>Headcount_Opex!T17</f>
        <v/>
      </c>
      <c r="K83" s="15">
        <f>Headcount_Opex!U17</f>
        <v/>
      </c>
      <c r="L83" s="15">
        <f>Headcount_Opex!V17</f>
        <v/>
      </c>
      <c r="M83" s="15">
        <f>Headcount_Opex!W17</f>
        <v/>
      </c>
      <c r="N83" s="15">
        <f>Headcount_Opex!X17</f>
        <v/>
      </c>
      <c r="O83" s="15">
        <f>Headcount_Opex!Y17</f>
        <v/>
      </c>
      <c r="P83" s="15">
        <f>Headcount_Opex!Z17</f>
        <v/>
      </c>
      <c r="Q83" s="15">
        <f>Headcount_Opex!AA17</f>
        <v/>
      </c>
      <c r="R83" s="15">
        <f>Headcount_Opex!AB17</f>
        <v/>
      </c>
      <c r="S83" s="15">
        <f>Headcount_Opex!AC17</f>
        <v/>
      </c>
      <c r="T83" s="15">
        <f>Headcount_Opex!AD17</f>
        <v/>
      </c>
      <c r="U83" s="15">
        <f>Headcount_Opex!AE17</f>
        <v/>
      </c>
      <c r="V83" s="15">
        <f>Headcount_Opex!AF17</f>
        <v/>
      </c>
      <c r="W83" s="15">
        <f>Headcount_Opex!AG17</f>
        <v/>
      </c>
      <c r="X83" s="15">
        <f>Headcount_Opex!AH17</f>
        <v/>
      </c>
      <c r="Y83" s="15">
        <f>Headcount_Opex!AI17</f>
        <v/>
      </c>
      <c r="Z83" s="15">
        <f>Headcount_Opex!AJ17</f>
        <v/>
      </c>
      <c r="AA83" s="15">
        <f>Headcount_Opex!AK17</f>
        <v/>
      </c>
      <c r="AB83" s="15">
        <f>Headcount_Opex!AL17</f>
        <v/>
      </c>
      <c r="AC83" s="15">
        <f>Headcount_Opex!AN17</f>
        <v/>
      </c>
      <c r="AD83" s="15">
        <f>Headcount_Opex!AO17</f>
        <v/>
      </c>
    </row>
    <row r="84">
      <c r="A84" s="5" t="inlineStr">
        <is>
          <t>out_hc_h_close_ga</t>
        </is>
      </c>
      <c r="B84" s="5" t="inlineStr">
        <is>
          <t>Headcount_Opex: Closing FTE</t>
        </is>
      </c>
      <c r="C84" s="2" t="inlineStr">
        <is>
          <t>FTE</t>
        </is>
      </c>
      <c r="D84" s="15">
        <f>Headcount_Opex!N23</f>
        <v/>
      </c>
      <c r="E84" s="15">
        <f>Headcount_Opex!O23</f>
        <v/>
      </c>
      <c r="F84" s="15">
        <f>Headcount_Opex!P23</f>
        <v/>
      </c>
      <c r="G84" s="15">
        <f>Headcount_Opex!Q23</f>
        <v/>
      </c>
      <c r="H84" s="15">
        <f>Headcount_Opex!R23</f>
        <v/>
      </c>
      <c r="I84" s="15">
        <f>Headcount_Opex!S23</f>
        <v/>
      </c>
      <c r="J84" s="15">
        <f>Headcount_Opex!T23</f>
        <v/>
      </c>
      <c r="K84" s="15">
        <f>Headcount_Opex!U23</f>
        <v/>
      </c>
      <c r="L84" s="15">
        <f>Headcount_Opex!V23</f>
        <v/>
      </c>
      <c r="M84" s="15">
        <f>Headcount_Opex!W23</f>
        <v/>
      </c>
      <c r="N84" s="15">
        <f>Headcount_Opex!X23</f>
        <v/>
      </c>
      <c r="O84" s="15">
        <f>Headcount_Opex!Y23</f>
        <v/>
      </c>
      <c r="P84" s="15">
        <f>Headcount_Opex!Z23</f>
        <v/>
      </c>
      <c r="Q84" s="15">
        <f>Headcount_Opex!AA23</f>
        <v/>
      </c>
      <c r="R84" s="15">
        <f>Headcount_Opex!AB23</f>
        <v/>
      </c>
      <c r="S84" s="15">
        <f>Headcount_Opex!AC23</f>
        <v/>
      </c>
      <c r="T84" s="15">
        <f>Headcount_Opex!AD23</f>
        <v/>
      </c>
      <c r="U84" s="15">
        <f>Headcount_Opex!AE23</f>
        <v/>
      </c>
      <c r="V84" s="15">
        <f>Headcount_Opex!AF23</f>
        <v/>
      </c>
      <c r="W84" s="15">
        <f>Headcount_Opex!AG23</f>
        <v/>
      </c>
      <c r="X84" s="15">
        <f>Headcount_Opex!AH23</f>
        <v/>
      </c>
      <c r="Y84" s="15">
        <f>Headcount_Opex!AI23</f>
        <v/>
      </c>
      <c r="Z84" s="15">
        <f>Headcount_Opex!AJ23</f>
        <v/>
      </c>
      <c r="AA84" s="15">
        <f>Headcount_Opex!AK23</f>
        <v/>
      </c>
      <c r="AB84" s="15">
        <f>Headcount_Opex!AL23</f>
        <v/>
      </c>
      <c r="AC84" s="15">
        <f>Headcount_Opex!AN23</f>
        <v/>
      </c>
      <c r="AD84" s="15">
        <f>Headcount_Opex!AO23</f>
        <v/>
      </c>
    </row>
    <row r="85">
      <c r="A85" s="5" t="inlineStr">
        <is>
          <t>out_hc_h_close_cs</t>
        </is>
      </c>
      <c r="B85" s="5" t="inlineStr">
        <is>
          <t>Headcount_Opex: Closing FTE</t>
        </is>
      </c>
      <c r="C85" s="2" t="inlineStr">
        <is>
          <t>FTE</t>
        </is>
      </c>
      <c r="D85" s="15">
        <f>Headcount_Opex!N29</f>
        <v/>
      </c>
      <c r="E85" s="15">
        <f>Headcount_Opex!O29</f>
        <v/>
      </c>
      <c r="F85" s="15">
        <f>Headcount_Opex!P29</f>
        <v/>
      </c>
      <c r="G85" s="15">
        <f>Headcount_Opex!Q29</f>
        <v/>
      </c>
      <c r="H85" s="15">
        <f>Headcount_Opex!R29</f>
        <v/>
      </c>
      <c r="I85" s="15">
        <f>Headcount_Opex!S29</f>
        <v/>
      </c>
      <c r="J85" s="15">
        <f>Headcount_Opex!T29</f>
        <v/>
      </c>
      <c r="K85" s="15">
        <f>Headcount_Opex!U29</f>
        <v/>
      </c>
      <c r="L85" s="15">
        <f>Headcount_Opex!V29</f>
        <v/>
      </c>
      <c r="M85" s="15">
        <f>Headcount_Opex!W29</f>
        <v/>
      </c>
      <c r="N85" s="15">
        <f>Headcount_Opex!X29</f>
        <v/>
      </c>
      <c r="O85" s="15">
        <f>Headcount_Opex!Y29</f>
        <v/>
      </c>
      <c r="P85" s="15">
        <f>Headcount_Opex!Z29</f>
        <v/>
      </c>
      <c r="Q85" s="15">
        <f>Headcount_Opex!AA29</f>
        <v/>
      </c>
      <c r="R85" s="15">
        <f>Headcount_Opex!AB29</f>
        <v/>
      </c>
      <c r="S85" s="15">
        <f>Headcount_Opex!AC29</f>
        <v/>
      </c>
      <c r="T85" s="15">
        <f>Headcount_Opex!AD29</f>
        <v/>
      </c>
      <c r="U85" s="15">
        <f>Headcount_Opex!AE29</f>
        <v/>
      </c>
      <c r="V85" s="15">
        <f>Headcount_Opex!AF29</f>
        <v/>
      </c>
      <c r="W85" s="15">
        <f>Headcount_Opex!AG29</f>
        <v/>
      </c>
      <c r="X85" s="15">
        <f>Headcount_Opex!AH29</f>
        <v/>
      </c>
      <c r="Y85" s="15">
        <f>Headcount_Opex!AI29</f>
        <v/>
      </c>
      <c r="Z85" s="15">
        <f>Headcount_Opex!AJ29</f>
        <v/>
      </c>
      <c r="AA85" s="15">
        <f>Headcount_Opex!AK29</f>
        <v/>
      </c>
      <c r="AB85" s="15">
        <f>Headcount_Opex!AL29</f>
        <v/>
      </c>
      <c r="AC85" s="15">
        <f>Headcount_Opex!AN29</f>
        <v/>
      </c>
      <c r="AD85" s="15">
        <f>Headcount_Opex!AO29</f>
        <v/>
      </c>
    </row>
    <row r="86">
      <c r="A86" s="5" t="inlineStr">
        <is>
          <t>out_hc_fte_close</t>
        </is>
      </c>
      <c r="B86" s="5" t="inlineStr">
        <is>
          <t>Headcount_Opex: Total closing FTE</t>
        </is>
      </c>
      <c r="C86" s="2" t="inlineStr">
        <is>
          <t>FTE</t>
        </is>
      </c>
      <c r="D86" s="15">
        <f>Headcount_Opex!N33</f>
        <v/>
      </c>
      <c r="E86" s="15">
        <f>Headcount_Opex!O33</f>
        <v/>
      </c>
      <c r="F86" s="15">
        <f>Headcount_Opex!P33</f>
        <v/>
      </c>
      <c r="G86" s="15">
        <f>Headcount_Opex!Q33</f>
        <v/>
      </c>
      <c r="H86" s="15">
        <f>Headcount_Opex!R33</f>
        <v/>
      </c>
      <c r="I86" s="15">
        <f>Headcount_Opex!S33</f>
        <v/>
      </c>
      <c r="J86" s="15">
        <f>Headcount_Opex!T33</f>
        <v/>
      </c>
      <c r="K86" s="15">
        <f>Headcount_Opex!U33</f>
        <v/>
      </c>
      <c r="L86" s="15">
        <f>Headcount_Opex!V33</f>
        <v/>
      </c>
      <c r="M86" s="15">
        <f>Headcount_Opex!W33</f>
        <v/>
      </c>
      <c r="N86" s="15">
        <f>Headcount_Opex!X33</f>
        <v/>
      </c>
      <c r="O86" s="15">
        <f>Headcount_Opex!Y33</f>
        <v/>
      </c>
      <c r="P86" s="15">
        <f>Headcount_Opex!Z33</f>
        <v/>
      </c>
      <c r="Q86" s="15">
        <f>Headcount_Opex!AA33</f>
        <v/>
      </c>
      <c r="R86" s="15">
        <f>Headcount_Opex!AB33</f>
        <v/>
      </c>
      <c r="S86" s="15">
        <f>Headcount_Opex!AC33</f>
        <v/>
      </c>
      <c r="T86" s="15">
        <f>Headcount_Opex!AD33</f>
        <v/>
      </c>
      <c r="U86" s="15">
        <f>Headcount_Opex!AE33</f>
        <v/>
      </c>
      <c r="V86" s="15">
        <f>Headcount_Opex!AF33</f>
        <v/>
      </c>
      <c r="W86" s="15">
        <f>Headcount_Opex!AG33</f>
        <v/>
      </c>
      <c r="X86" s="15">
        <f>Headcount_Opex!AH33</f>
        <v/>
      </c>
      <c r="Y86" s="15">
        <f>Headcount_Opex!AI33</f>
        <v/>
      </c>
      <c r="Z86" s="15">
        <f>Headcount_Opex!AJ33</f>
        <v/>
      </c>
      <c r="AA86" s="15">
        <f>Headcount_Opex!AK33</f>
        <v/>
      </c>
      <c r="AB86" s="15">
        <f>Headcount_Opex!AL33</f>
        <v/>
      </c>
      <c r="AC86" s="15">
        <f>Headcount_Opex!AN33</f>
        <v/>
      </c>
      <c r="AD86" s="15">
        <f>Headcount_Opex!AO33</f>
        <v/>
      </c>
    </row>
    <row r="87">
      <c r="A87" s="5" t="inlineStr">
        <is>
          <t>out_hc_pay_tot</t>
        </is>
      </c>
      <c r="B87" s="5" t="inlineStr">
        <is>
          <t>Headcount_Opex: Total payroll</t>
        </is>
      </c>
      <c r="C87" s="2" t="inlineStr">
        <is>
          <t>GBP k</t>
        </is>
      </c>
      <c r="E87" s="19">
        <f>Headcount_Opex!O34</f>
        <v/>
      </c>
      <c r="F87" s="19">
        <f>Headcount_Opex!P34</f>
        <v/>
      </c>
      <c r="G87" s="19">
        <f>Headcount_Opex!Q34</f>
        <v/>
      </c>
      <c r="H87" s="19">
        <f>Headcount_Opex!R34</f>
        <v/>
      </c>
      <c r="I87" s="19">
        <f>Headcount_Opex!S34</f>
        <v/>
      </c>
      <c r="J87" s="19">
        <f>Headcount_Opex!T34</f>
        <v/>
      </c>
      <c r="K87" s="19">
        <f>Headcount_Opex!U34</f>
        <v/>
      </c>
      <c r="L87" s="19">
        <f>Headcount_Opex!V34</f>
        <v/>
      </c>
      <c r="M87" s="19">
        <f>Headcount_Opex!W34</f>
        <v/>
      </c>
      <c r="N87" s="19">
        <f>Headcount_Opex!X34</f>
        <v/>
      </c>
      <c r="O87" s="19">
        <f>Headcount_Opex!Y34</f>
        <v/>
      </c>
      <c r="P87" s="19">
        <f>Headcount_Opex!Z34</f>
        <v/>
      </c>
      <c r="Q87" s="19">
        <f>Headcount_Opex!AA34</f>
        <v/>
      </c>
      <c r="R87" s="19">
        <f>Headcount_Opex!AB34</f>
        <v/>
      </c>
      <c r="S87" s="19">
        <f>Headcount_Opex!AC34</f>
        <v/>
      </c>
      <c r="T87" s="19">
        <f>Headcount_Opex!AD34</f>
        <v/>
      </c>
      <c r="U87" s="19">
        <f>Headcount_Opex!AE34</f>
        <v/>
      </c>
      <c r="V87" s="19">
        <f>Headcount_Opex!AF34</f>
        <v/>
      </c>
      <c r="W87" s="19">
        <f>Headcount_Opex!AG34</f>
        <v/>
      </c>
      <c r="X87" s="19">
        <f>Headcount_Opex!AH34</f>
        <v/>
      </c>
      <c r="Y87" s="19">
        <f>Headcount_Opex!AI34</f>
        <v/>
      </c>
      <c r="Z87" s="19">
        <f>Headcount_Opex!AJ34</f>
        <v/>
      </c>
      <c r="AA87" s="19">
        <f>Headcount_Opex!AK34</f>
        <v/>
      </c>
      <c r="AB87" s="19">
        <f>Headcount_Opex!AL34</f>
        <v/>
      </c>
      <c r="AC87" s="19">
        <f>Headcount_Opex!AN34</f>
        <v/>
      </c>
      <c r="AD87" s="19">
        <f>Headcount_Opex!AO34</f>
        <v/>
      </c>
    </row>
    <row r="88">
      <c r="A88" s="5" t="inlineStr">
        <is>
          <t>out_hc_commission</t>
        </is>
      </c>
      <c r="B88" s="5" t="inlineStr">
        <is>
          <t>Headcount_Opex: Sales commission earned (cash; accounting treatment on Contract_Costs)</t>
        </is>
      </c>
      <c r="C88" s="2" t="inlineStr">
        <is>
          <t>GBP k</t>
        </is>
      </c>
      <c r="E88" s="19">
        <f>Headcount_Opex!O40</f>
        <v/>
      </c>
      <c r="F88" s="19">
        <f>Headcount_Opex!P40</f>
        <v/>
      </c>
      <c r="G88" s="19">
        <f>Headcount_Opex!Q40</f>
        <v/>
      </c>
      <c r="H88" s="19">
        <f>Headcount_Opex!R40</f>
        <v/>
      </c>
      <c r="I88" s="19">
        <f>Headcount_Opex!S40</f>
        <v/>
      </c>
      <c r="J88" s="19">
        <f>Headcount_Opex!T40</f>
        <v/>
      </c>
      <c r="K88" s="19">
        <f>Headcount_Opex!U40</f>
        <v/>
      </c>
      <c r="L88" s="19">
        <f>Headcount_Opex!V40</f>
        <v/>
      </c>
      <c r="M88" s="19">
        <f>Headcount_Opex!W40</f>
        <v/>
      </c>
      <c r="N88" s="19">
        <f>Headcount_Opex!X40</f>
        <v/>
      </c>
      <c r="O88" s="19">
        <f>Headcount_Opex!Y40</f>
        <v/>
      </c>
      <c r="P88" s="19">
        <f>Headcount_Opex!Z40</f>
        <v/>
      </c>
      <c r="Q88" s="19">
        <f>Headcount_Opex!AA40</f>
        <v/>
      </c>
      <c r="R88" s="19">
        <f>Headcount_Opex!AB40</f>
        <v/>
      </c>
      <c r="S88" s="19">
        <f>Headcount_Opex!AC40</f>
        <v/>
      </c>
      <c r="T88" s="19">
        <f>Headcount_Opex!AD40</f>
        <v/>
      </c>
      <c r="U88" s="19">
        <f>Headcount_Opex!AE40</f>
        <v/>
      </c>
      <c r="V88" s="19">
        <f>Headcount_Opex!AF40</f>
        <v/>
      </c>
      <c r="W88" s="19">
        <f>Headcount_Opex!AG40</f>
        <v/>
      </c>
      <c r="X88" s="19">
        <f>Headcount_Opex!AH40</f>
        <v/>
      </c>
      <c r="Y88" s="19">
        <f>Headcount_Opex!AI40</f>
        <v/>
      </c>
      <c r="Z88" s="19">
        <f>Headcount_Opex!AJ40</f>
        <v/>
      </c>
      <c r="AA88" s="19">
        <f>Headcount_Opex!AK40</f>
        <v/>
      </c>
      <c r="AB88" s="19">
        <f>Headcount_Opex!AL40</f>
        <v/>
      </c>
      <c r="AC88" s="19">
        <f>Headcount_Opex!AN40</f>
        <v/>
      </c>
      <c r="AD88" s="19">
        <f>Headcount_Opex!AO40</f>
        <v/>
      </c>
    </row>
    <row r="89">
      <c r="A89" s="5" t="inlineStr">
        <is>
          <t>out_hc_opex_rd</t>
        </is>
      </c>
      <c r="B89" s="5" t="inlineStr">
        <is>
          <t>Headcount_Opex: R&amp;D</t>
        </is>
      </c>
      <c r="C89" s="2" t="inlineStr">
        <is>
          <t>GBP k</t>
        </is>
      </c>
      <c r="E89" s="19">
        <f>Headcount_Opex!O43</f>
        <v/>
      </c>
      <c r="F89" s="19">
        <f>Headcount_Opex!P43</f>
        <v/>
      </c>
      <c r="G89" s="19">
        <f>Headcount_Opex!Q43</f>
        <v/>
      </c>
      <c r="H89" s="19">
        <f>Headcount_Opex!R43</f>
        <v/>
      </c>
      <c r="I89" s="19">
        <f>Headcount_Opex!S43</f>
        <v/>
      </c>
      <c r="J89" s="19">
        <f>Headcount_Opex!T43</f>
        <v/>
      </c>
      <c r="K89" s="19">
        <f>Headcount_Opex!U43</f>
        <v/>
      </c>
      <c r="L89" s="19">
        <f>Headcount_Opex!V43</f>
        <v/>
      </c>
      <c r="M89" s="19">
        <f>Headcount_Opex!W43</f>
        <v/>
      </c>
      <c r="N89" s="19">
        <f>Headcount_Opex!X43</f>
        <v/>
      </c>
      <c r="O89" s="19">
        <f>Headcount_Opex!Y43</f>
        <v/>
      </c>
      <c r="P89" s="19">
        <f>Headcount_Opex!Z43</f>
        <v/>
      </c>
      <c r="Q89" s="19">
        <f>Headcount_Opex!AA43</f>
        <v/>
      </c>
      <c r="R89" s="19">
        <f>Headcount_Opex!AB43</f>
        <v/>
      </c>
      <c r="S89" s="19">
        <f>Headcount_Opex!AC43</f>
        <v/>
      </c>
      <c r="T89" s="19">
        <f>Headcount_Opex!AD43</f>
        <v/>
      </c>
      <c r="U89" s="19">
        <f>Headcount_Opex!AE43</f>
        <v/>
      </c>
      <c r="V89" s="19">
        <f>Headcount_Opex!AF43</f>
        <v/>
      </c>
      <c r="W89" s="19">
        <f>Headcount_Opex!AG43</f>
        <v/>
      </c>
      <c r="X89" s="19">
        <f>Headcount_Opex!AH43</f>
        <v/>
      </c>
      <c r="Y89" s="19">
        <f>Headcount_Opex!AI43</f>
        <v/>
      </c>
      <c r="Z89" s="19">
        <f>Headcount_Opex!AJ43</f>
        <v/>
      </c>
      <c r="AA89" s="19">
        <f>Headcount_Opex!AK43</f>
        <v/>
      </c>
      <c r="AB89" s="19">
        <f>Headcount_Opex!AL43</f>
        <v/>
      </c>
      <c r="AC89" s="19">
        <f>Headcount_Opex!AN43</f>
        <v/>
      </c>
      <c r="AD89" s="19">
        <f>Headcount_Opex!AO43</f>
        <v/>
      </c>
    </row>
    <row r="90">
      <c r="A90" s="5" t="inlineStr">
        <is>
          <t>out_hc_opex_sm</t>
        </is>
      </c>
      <c r="B90" s="5" t="inlineStr">
        <is>
          <t>Headcount_Opex: Sales &amp; Marketing</t>
        </is>
      </c>
      <c r="C90" s="2" t="inlineStr">
        <is>
          <t>GBP k</t>
        </is>
      </c>
      <c r="E90" s="19">
        <f>Headcount_Opex!O44</f>
        <v/>
      </c>
      <c r="F90" s="19">
        <f>Headcount_Opex!P44</f>
        <v/>
      </c>
      <c r="G90" s="19">
        <f>Headcount_Opex!Q44</f>
        <v/>
      </c>
      <c r="H90" s="19">
        <f>Headcount_Opex!R44</f>
        <v/>
      </c>
      <c r="I90" s="19">
        <f>Headcount_Opex!S44</f>
        <v/>
      </c>
      <c r="J90" s="19">
        <f>Headcount_Opex!T44</f>
        <v/>
      </c>
      <c r="K90" s="19">
        <f>Headcount_Opex!U44</f>
        <v/>
      </c>
      <c r="L90" s="19">
        <f>Headcount_Opex!V44</f>
        <v/>
      </c>
      <c r="M90" s="19">
        <f>Headcount_Opex!W44</f>
        <v/>
      </c>
      <c r="N90" s="19">
        <f>Headcount_Opex!X44</f>
        <v/>
      </c>
      <c r="O90" s="19">
        <f>Headcount_Opex!Y44</f>
        <v/>
      </c>
      <c r="P90" s="19">
        <f>Headcount_Opex!Z44</f>
        <v/>
      </c>
      <c r="Q90" s="19">
        <f>Headcount_Opex!AA44</f>
        <v/>
      </c>
      <c r="R90" s="19">
        <f>Headcount_Opex!AB44</f>
        <v/>
      </c>
      <c r="S90" s="19">
        <f>Headcount_Opex!AC44</f>
        <v/>
      </c>
      <c r="T90" s="19">
        <f>Headcount_Opex!AD44</f>
        <v/>
      </c>
      <c r="U90" s="19">
        <f>Headcount_Opex!AE44</f>
        <v/>
      </c>
      <c r="V90" s="19">
        <f>Headcount_Opex!AF44</f>
        <v/>
      </c>
      <c r="W90" s="19">
        <f>Headcount_Opex!AG44</f>
        <v/>
      </c>
      <c r="X90" s="19">
        <f>Headcount_Opex!AH44</f>
        <v/>
      </c>
      <c r="Y90" s="19">
        <f>Headcount_Opex!AI44</f>
        <v/>
      </c>
      <c r="Z90" s="19">
        <f>Headcount_Opex!AJ44</f>
        <v/>
      </c>
      <c r="AA90" s="19">
        <f>Headcount_Opex!AK44</f>
        <v/>
      </c>
      <c r="AB90" s="19">
        <f>Headcount_Opex!AL44</f>
        <v/>
      </c>
      <c r="AC90" s="19">
        <f>Headcount_Opex!AN44</f>
        <v/>
      </c>
      <c r="AD90" s="19">
        <f>Headcount_Opex!AO44</f>
        <v/>
      </c>
    </row>
    <row r="91">
      <c r="A91" s="5" t="inlineStr">
        <is>
          <t>out_hc_opex_ga</t>
        </is>
      </c>
      <c r="B91" s="5" t="inlineStr">
        <is>
          <t>Headcount_Opex: G&amp;A</t>
        </is>
      </c>
      <c r="C91" s="2" t="inlineStr">
        <is>
          <t>GBP k</t>
        </is>
      </c>
      <c r="E91" s="19">
        <f>Headcount_Opex!O45</f>
        <v/>
      </c>
      <c r="F91" s="19">
        <f>Headcount_Opex!P45</f>
        <v/>
      </c>
      <c r="G91" s="19">
        <f>Headcount_Opex!Q45</f>
        <v/>
      </c>
      <c r="H91" s="19">
        <f>Headcount_Opex!R45</f>
        <v/>
      </c>
      <c r="I91" s="19">
        <f>Headcount_Opex!S45</f>
        <v/>
      </c>
      <c r="J91" s="19">
        <f>Headcount_Opex!T45</f>
        <v/>
      </c>
      <c r="K91" s="19">
        <f>Headcount_Opex!U45</f>
        <v/>
      </c>
      <c r="L91" s="19">
        <f>Headcount_Opex!V45</f>
        <v/>
      </c>
      <c r="M91" s="19">
        <f>Headcount_Opex!W45</f>
        <v/>
      </c>
      <c r="N91" s="19">
        <f>Headcount_Opex!X45</f>
        <v/>
      </c>
      <c r="O91" s="19">
        <f>Headcount_Opex!Y45</f>
        <v/>
      </c>
      <c r="P91" s="19">
        <f>Headcount_Opex!Z45</f>
        <v/>
      </c>
      <c r="Q91" s="19">
        <f>Headcount_Opex!AA45</f>
        <v/>
      </c>
      <c r="R91" s="19">
        <f>Headcount_Opex!AB45</f>
        <v/>
      </c>
      <c r="S91" s="19">
        <f>Headcount_Opex!AC45</f>
        <v/>
      </c>
      <c r="T91" s="19">
        <f>Headcount_Opex!AD45</f>
        <v/>
      </c>
      <c r="U91" s="19">
        <f>Headcount_Opex!AE45</f>
        <v/>
      </c>
      <c r="V91" s="19">
        <f>Headcount_Opex!AF45</f>
        <v/>
      </c>
      <c r="W91" s="19">
        <f>Headcount_Opex!AG45</f>
        <v/>
      </c>
      <c r="X91" s="19">
        <f>Headcount_Opex!AH45</f>
        <v/>
      </c>
      <c r="Y91" s="19">
        <f>Headcount_Opex!AI45</f>
        <v/>
      </c>
      <c r="Z91" s="19">
        <f>Headcount_Opex!AJ45</f>
        <v/>
      </c>
      <c r="AA91" s="19">
        <f>Headcount_Opex!AK45</f>
        <v/>
      </c>
      <c r="AB91" s="19">
        <f>Headcount_Opex!AL45</f>
        <v/>
      </c>
      <c r="AC91" s="19">
        <f>Headcount_Opex!AN45</f>
        <v/>
      </c>
      <c r="AD91" s="19">
        <f>Headcount_Opex!AO45</f>
        <v/>
      </c>
    </row>
    <row r="92">
      <c r="A92" s="5" t="inlineStr">
        <is>
          <t>out_hc_opex_tot</t>
        </is>
      </c>
      <c r="B92" s="5" t="inlineStr">
        <is>
          <t>Headcount_Opex: Total operating expense</t>
        </is>
      </c>
      <c r="C92" s="2" t="inlineStr">
        <is>
          <t>GBP k</t>
        </is>
      </c>
      <c r="E92" s="19">
        <f>Headcount_Opex!O46</f>
        <v/>
      </c>
      <c r="F92" s="19">
        <f>Headcount_Opex!P46</f>
        <v/>
      </c>
      <c r="G92" s="19">
        <f>Headcount_Opex!Q46</f>
        <v/>
      </c>
      <c r="H92" s="19">
        <f>Headcount_Opex!R46</f>
        <v/>
      </c>
      <c r="I92" s="19">
        <f>Headcount_Opex!S46</f>
        <v/>
      </c>
      <c r="J92" s="19">
        <f>Headcount_Opex!T46</f>
        <v/>
      </c>
      <c r="K92" s="19">
        <f>Headcount_Opex!U46</f>
        <v/>
      </c>
      <c r="L92" s="19">
        <f>Headcount_Opex!V46</f>
        <v/>
      </c>
      <c r="M92" s="19">
        <f>Headcount_Opex!W46</f>
        <v/>
      </c>
      <c r="N92" s="19">
        <f>Headcount_Opex!X46</f>
        <v/>
      </c>
      <c r="O92" s="19">
        <f>Headcount_Opex!Y46</f>
        <v/>
      </c>
      <c r="P92" s="19">
        <f>Headcount_Opex!Z46</f>
        <v/>
      </c>
      <c r="Q92" s="19">
        <f>Headcount_Opex!AA46</f>
        <v/>
      </c>
      <c r="R92" s="19">
        <f>Headcount_Opex!AB46</f>
        <v/>
      </c>
      <c r="S92" s="19">
        <f>Headcount_Opex!AC46</f>
        <v/>
      </c>
      <c r="T92" s="19">
        <f>Headcount_Opex!AD46</f>
        <v/>
      </c>
      <c r="U92" s="19">
        <f>Headcount_Opex!AE46</f>
        <v/>
      </c>
      <c r="V92" s="19">
        <f>Headcount_Opex!AF46</f>
        <v/>
      </c>
      <c r="W92" s="19">
        <f>Headcount_Opex!AG46</f>
        <v/>
      </c>
      <c r="X92" s="19">
        <f>Headcount_Opex!AH46</f>
        <v/>
      </c>
      <c r="Y92" s="19">
        <f>Headcount_Opex!AI46</f>
        <v/>
      </c>
      <c r="Z92" s="19">
        <f>Headcount_Opex!AJ46</f>
        <v/>
      </c>
      <c r="AA92" s="19">
        <f>Headcount_Opex!AK46</f>
        <v/>
      </c>
      <c r="AB92" s="19">
        <f>Headcount_Opex!AL46</f>
        <v/>
      </c>
      <c r="AC92" s="19">
        <f>Headcount_Opex!AN46</f>
        <v/>
      </c>
      <c r="AD92" s="19">
        <f>Headcount_Opex!AO46</f>
        <v/>
      </c>
    </row>
    <row r="93">
      <c r="A93" s="5" t="inlineStr">
        <is>
          <t>out_cc_cap</t>
        </is>
      </c>
      <c r="B93" s="5" t="inlineStr">
        <is>
          <t>Contract_Costs: Capitalised</t>
        </is>
      </c>
      <c r="C93" s="2" t="inlineStr">
        <is>
          <t>GBP k</t>
        </is>
      </c>
      <c r="E93" s="19">
        <f>Contract_Costs!O10</f>
        <v/>
      </c>
      <c r="F93" s="19">
        <f>Contract_Costs!P10</f>
        <v/>
      </c>
      <c r="G93" s="19">
        <f>Contract_Costs!Q10</f>
        <v/>
      </c>
      <c r="H93" s="19">
        <f>Contract_Costs!R10</f>
        <v/>
      </c>
      <c r="I93" s="19">
        <f>Contract_Costs!S10</f>
        <v/>
      </c>
      <c r="J93" s="19">
        <f>Contract_Costs!T10</f>
        <v/>
      </c>
      <c r="K93" s="19">
        <f>Contract_Costs!U10</f>
        <v/>
      </c>
      <c r="L93" s="19">
        <f>Contract_Costs!V10</f>
        <v/>
      </c>
      <c r="M93" s="19">
        <f>Contract_Costs!W10</f>
        <v/>
      </c>
      <c r="N93" s="19">
        <f>Contract_Costs!X10</f>
        <v/>
      </c>
      <c r="O93" s="19">
        <f>Contract_Costs!Y10</f>
        <v/>
      </c>
      <c r="P93" s="19">
        <f>Contract_Costs!Z10</f>
        <v/>
      </c>
      <c r="Q93" s="19">
        <f>Contract_Costs!AA10</f>
        <v/>
      </c>
      <c r="R93" s="19">
        <f>Contract_Costs!AB10</f>
        <v/>
      </c>
      <c r="S93" s="19">
        <f>Contract_Costs!AC10</f>
        <v/>
      </c>
      <c r="T93" s="19">
        <f>Contract_Costs!AD10</f>
        <v/>
      </c>
      <c r="U93" s="19">
        <f>Contract_Costs!AE10</f>
        <v/>
      </c>
      <c r="V93" s="19">
        <f>Contract_Costs!AF10</f>
        <v/>
      </c>
      <c r="W93" s="19">
        <f>Contract_Costs!AG10</f>
        <v/>
      </c>
      <c r="X93" s="19">
        <f>Contract_Costs!AH10</f>
        <v/>
      </c>
      <c r="Y93" s="19">
        <f>Contract_Costs!AI10</f>
        <v/>
      </c>
      <c r="Z93" s="19">
        <f>Contract_Costs!AJ10</f>
        <v/>
      </c>
      <c r="AA93" s="19">
        <f>Contract_Costs!AK10</f>
        <v/>
      </c>
      <c r="AB93" s="19">
        <f>Contract_Costs!AL10</f>
        <v/>
      </c>
      <c r="AC93" s="19">
        <f>Contract_Costs!AN10</f>
        <v/>
      </c>
      <c r="AD93" s="19">
        <f>Contract_Costs!AO10</f>
        <v/>
      </c>
    </row>
    <row r="94">
      <c r="A94" s="5" t="inlineStr">
        <is>
          <t>out_cc_a_amort</t>
        </is>
      </c>
      <c r="B94" s="5" t="inlineStr">
        <is>
          <t>Contract_Costs: - Amortisation</t>
        </is>
      </c>
      <c r="C94" s="2" t="inlineStr">
        <is>
          <t>GBP k</t>
        </is>
      </c>
      <c r="E94" s="19">
        <f>Contract_Costs!O16</f>
        <v/>
      </c>
      <c r="F94" s="19">
        <f>Contract_Costs!P16</f>
        <v/>
      </c>
      <c r="G94" s="19">
        <f>Contract_Costs!Q16</f>
        <v/>
      </c>
      <c r="H94" s="19">
        <f>Contract_Costs!R16</f>
        <v/>
      </c>
      <c r="I94" s="19">
        <f>Contract_Costs!S16</f>
        <v/>
      </c>
      <c r="J94" s="19">
        <f>Contract_Costs!T16</f>
        <v/>
      </c>
      <c r="K94" s="19">
        <f>Contract_Costs!U16</f>
        <v/>
      </c>
      <c r="L94" s="19">
        <f>Contract_Costs!V16</f>
        <v/>
      </c>
      <c r="M94" s="19">
        <f>Contract_Costs!W16</f>
        <v/>
      </c>
      <c r="N94" s="19">
        <f>Contract_Costs!X16</f>
        <v/>
      </c>
      <c r="O94" s="19">
        <f>Contract_Costs!Y16</f>
        <v/>
      </c>
      <c r="P94" s="19">
        <f>Contract_Costs!Z16</f>
        <v/>
      </c>
      <c r="Q94" s="19">
        <f>Contract_Costs!AA16</f>
        <v/>
      </c>
      <c r="R94" s="19">
        <f>Contract_Costs!AB16</f>
        <v/>
      </c>
      <c r="S94" s="19">
        <f>Contract_Costs!AC16</f>
        <v/>
      </c>
      <c r="T94" s="19">
        <f>Contract_Costs!AD16</f>
        <v/>
      </c>
      <c r="U94" s="19">
        <f>Contract_Costs!AE16</f>
        <v/>
      </c>
      <c r="V94" s="19">
        <f>Contract_Costs!AF16</f>
        <v/>
      </c>
      <c r="W94" s="19">
        <f>Contract_Costs!AG16</f>
        <v/>
      </c>
      <c r="X94" s="19">
        <f>Contract_Costs!AH16</f>
        <v/>
      </c>
      <c r="Y94" s="19">
        <f>Contract_Costs!AI16</f>
        <v/>
      </c>
      <c r="Z94" s="19">
        <f>Contract_Costs!AJ16</f>
        <v/>
      </c>
      <c r="AA94" s="19">
        <f>Contract_Costs!AK16</f>
        <v/>
      </c>
      <c r="AB94" s="19">
        <f>Contract_Costs!AL16</f>
        <v/>
      </c>
      <c r="AC94" s="19">
        <f>Contract_Costs!AN16</f>
        <v/>
      </c>
      <c r="AD94" s="19">
        <f>Contract_Costs!AO16</f>
        <v/>
      </c>
    </row>
    <row r="95">
      <c r="A95" s="5" t="inlineStr">
        <is>
          <t>out_cc_a_close</t>
        </is>
      </c>
      <c r="B95" s="5" t="inlineStr">
        <is>
          <t>Contract_Costs: Closing asset</t>
        </is>
      </c>
      <c r="C95" s="2" t="inlineStr">
        <is>
          <t>GBP k</t>
        </is>
      </c>
      <c r="D95" s="19">
        <f>Contract_Costs!N17</f>
        <v/>
      </c>
      <c r="E95" s="19">
        <f>Contract_Costs!O17</f>
        <v/>
      </c>
      <c r="F95" s="19">
        <f>Contract_Costs!P17</f>
        <v/>
      </c>
      <c r="G95" s="19">
        <f>Contract_Costs!Q17</f>
        <v/>
      </c>
      <c r="H95" s="19">
        <f>Contract_Costs!R17</f>
        <v/>
      </c>
      <c r="I95" s="19">
        <f>Contract_Costs!S17</f>
        <v/>
      </c>
      <c r="J95" s="19">
        <f>Contract_Costs!T17</f>
        <v/>
      </c>
      <c r="K95" s="19">
        <f>Contract_Costs!U17</f>
        <v/>
      </c>
      <c r="L95" s="19">
        <f>Contract_Costs!V17</f>
        <v/>
      </c>
      <c r="M95" s="19">
        <f>Contract_Costs!W17</f>
        <v/>
      </c>
      <c r="N95" s="19">
        <f>Contract_Costs!X17</f>
        <v/>
      </c>
      <c r="O95" s="19">
        <f>Contract_Costs!Y17</f>
        <v/>
      </c>
      <c r="P95" s="19">
        <f>Contract_Costs!Z17</f>
        <v/>
      </c>
      <c r="Q95" s="19">
        <f>Contract_Costs!AA17</f>
        <v/>
      </c>
      <c r="R95" s="19">
        <f>Contract_Costs!AB17</f>
        <v/>
      </c>
      <c r="S95" s="19">
        <f>Contract_Costs!AC17</f>
        <v/>
      </c>
      <c r="T95" s="19">
        <f>Contract_Costs!AD17</f>
        <v/>
      </c>
      <c r="U95" s="19">
        <f>Contract_Costs!AE17</f>
        <v/>
      </c>
      <c r="V95" s="19">
        <f>Contract_Costs!AF17</f>
        <v/>
      </c>
      <c r="W95" s="19">
        <f>Contract_Costs!AG17</f>
        <v/>
      </c>
      <c r="X95" s="19">
        <f>Contract_Costs!AH17</f>
        <v/>
      </c>
      <c r="Y95" s="19">
        <f>Contract_Costs!AI17</f>
        <v/>
      </c>
      <c r="Z95" s="19">
        <f>Contract_Costs!AJ17</f>
        <v/>
      </c>
      <c r="AA95" s="19">
        <f>Contract_Costs!AK17</f>
        <v/>
      </c>
      <c r="AB95" s="19">
        <f>Contract_Costs!AL17</f>
        <v/>
      </c>
      <c r="AC95" s="19">
        <f>Contract_Costs!AN17</f>
        <v/>
      </c>
      <c r="AD95" s="19">
        <f>Contract_Costs!AO17</f>
        <v/>
      </c>
    </row>
    <row r="96">
      <c r="A96" s="5" t="inlineStr">
        <is>
          <t>out_cc_pl_charge</t>
        </is>
      </c>
      <c r="B96" s="5" t="inlineStr">
        <is>
          <t>Contract_Costs: Commission expense = expensed now + amortisation</t>
        </is>
      </c>
      <c r="C96" s="2" t="inlineStr">
        <is>
          <t>GBP k</t>
        </is>
      </c>
      <c r="E96" s="19">
        <f>Contract_Costs!O20</f>
        <v/>
      </c>
      <c r="F96" s="19">
        <f>Contract_Costs!P20</f>
        <v/>
      </c>
      <c r="G96" s="19">
        <f>Contract_Costs!Q20</f>
        <v/>
      </c>
      <c r="H96" s="19">
        <f>Contract_Costs!R20</f>
        <v/>
      </c>
      <c r="I96" s="19">
        <f>Contract_Costs!S20</f>
        <v/>
      </c>
      <c r="J96" s="19">
        <f>Contract_Costs!T20</f>
        <v/>
      </c>
      <c r="K96" s="19">
        <f>Contract_Costs!U20</f>
        <v/>
      </c>
      <c r="L96" s="19">
        <f>Contract_Costs!V20</f>
        <v/>
      </c>
      <c r="M96" s="19">
        <f>Contract_Costs!W20</f>
        <v/>
      </c>
      <c r="N96" s="19">
        <f>Contract_Costs!X20</f>
        <v/>
      </c>
      <c r="O96" s="19">
        <f>Contract_Costs!Y20</f>
        <v/>
      </c>
      <c r="P96" s="19">
        <f>Contract_Costs!Z20</f>
        <v/>
      </c>
      <c r="Q96" s="19">
        <f>Contract_Costs!AA20</f>
        <v/>
      </c>
      <c r="R96" s="19">
        <f>Contract_Costs!AB20</f>
        <v/>
      </c>
      <c r="S96" s="19">
        <f>Contract_Costs!AC20</f>
        <v/>
      </c>
      <c r="T96" s="19">
        <f>Contract_Costs!AD20</f>
        <v/>
      </c>
      <c r="U96" s="19">
        <f>Contract_Costs!AE20</f>
        <v/>
      </c>
      <c r="V96" s="19">
        <f>Contract_Costs!AF20</f>
        <v/>
      </c>
      <c r="W96" s="19">
        <f>Contract_Costs!AG20</f>
        <v/>
      </c>
      <c r="X96" s="19">
        <f>Contract_Costs!AH20</f>
        <v/>
      </c>
      <c r="Y96" s="19">
        <f>Contract_Costs!AI20</f>
        <v/>
      </c>
      <c r="Z96" s="19">
        <f>Contract_Costs!AJ20</f>
        <v/>
      </c>
      <c r="AA96" s="19">
        <f>Contract_Costs!AK20</f>
        <v/>
      </c>
      <c r="AB96" s="19">
        <f>Contract_Costs!AL20</f>
        <v/>
      </c>
      <c r="AC96" s="19">
        <f>Contract_Costs!AN20</f>
        <v/>
      </c>
      <c r="AD96" s="19">
        <f>Contract_Costs!AO20</f>
        <v/>
      </c>
    </row>
    <row r="97">
      <c r="A97" s="5" t="inlineStr">
        <is>
          <t>out_cogs_host</t>
        </is>
      </c>
      <c r="B97" s="5" t="inlineStr">
        <is>
          <t>COGS: Hosting (closing customers x cost per customer)</t>
        </is>
      </c>
      <c r="C97" s="2" t="inlineStr">
        <is>
          <t>GBP k</t>
        </is>
      </c>
      <c r="E97" s="19">
        <f>COGS!O9</f>
        <v/>
      </c>
      <c r="F97" s="19">
        <f>COGS!P9</f>
        <v/>
      </c>
      <c r="G97" s="19">
        <f>COGS!Q9</f>
        <v/>
      </c>
      <c r="H97" s="19">
        <f>COGS!R9</f>
        <v/>
      </c>
      <c r="I97" s="19">
        <f>COGS!S9</f>
        <v/>
      </c>
      <c r="J97" s="19">
        <f>COGS!T9</f>
        <v/>
      </c>
      <c r="K97" s="19">
        <f>COGS!U9</f>
        <v/>
      </c>
      <c r="L97" s="19">
        <f>COGS!V9</f>
        <v/>
      </c>
      <c r="M97" s="19">
        <f>COGS!W9</f>
        <v/>
      </c>
      <c r="N97" s="19">
        <f>COGS!X9</f>
        <v/>
      </c>
      <c r="O97" s="19">
        <f>COGS!Y9</f>
        <v/>
      </c>
      <c r="P97" s="19">
        <f>COGS!Z9</f>
        <v/>
      </c>
      <c r="Q97" s="19">
        <f>COGS!AA9</f>
        <v/>
      </c>
      <c r="R97" s="19">
        <f>COGS!AB9</f>
        <v/>
      </c>
      <c r="S97" s="19">
        <f>COGS!AC9</f>
        <v/>
      </c>
      <c r="T97" s="19">
        <f>COGS!AD9</f>
        <v/>
      </c>
      <c r="U97" s="19">
        <f>COGS!AE9</f>
        <v/>
      </c>
      <c r="V97" s="19">
        <f>COGS!AF9</f>
        <v/>
      </c>
      <c r="W97" s="19">
        <f>COGS!AG9</f>
        <v/>
      </c>
      <c r="X97" s="19">
        <f>COGS!AH9</f>
        <v/>
      </c>
      <c r="Y97" s="19">
        <f>COGS!AI9</f>
        <v/>
      </c>
      <c r="Z97" s="19">
        <f>COGS!AJ9</f>
        <v/>
      </c>
      <c r="AA97" s="19">
        <f>COGS!AK9</f>
        <v/>
      </c>
      <c r="AB97" s="19">
        <f>COGS!AL9</f>
        <v/>
      </c>
      <c r="AC97" s="19">
        <f>COGS!AN9</f>
        <v/>
      </c>
      <c r="AD97" s="19">
        <f>COGS!AO9</f>
        <v/>
      </c>
    </row>
    <row r="98">
      <c r="A98" s="5" t="inlineStr">
        <is>
          <t>out_cogs_lic</t>
        </is>
      </c>
      <c r="B98" s="5" t="inlineStr">
        <is>
          <t>COGS: Third-party licences</t>
        </is>
      </c>
      <c r="C98" s="2" t="inlineStr">
        <is>
          <t>GBP k</t>
        </is>
      </c>
      <c r="E98" s="19">
        <f>COGS!O10</f>
        <v/>
      </c>
      <c r="F98" s="19">
        <f>COGS!P10</f>
        <v/>
      </c>
      <c r="G98" s="19">
        <f>COGS!Q10</f>
        <v/>
      </c>
      <c r="H98" s="19">
        <f>COGS!R10</f>
        <v/>
      </c>
      <c r="I98" s="19">
        <f>COGS!S10</f>
        <v/>
      </c>
      <c r="J98" s="19">
        <f>COGS!T10</f>
        <v/>
      </c>
      <c r="K98" s="19">
        <f>COGS!U10</f>
        <v/>
      </c>
      <c r="L98" s="19">
        <f>COGS!V10</f>
        <v/>
      </c>
      <c r="M98" s="19">
        <f>COGS!W10</f>
        <v/>
      </c>
      <c r="N98" s="19">
        <f>COGS!X10</f>
        <v/>
      </c>
      <c r="O98" s="19">
        <f>COGS!Y10</f>
        <v/>
      </c>
      <c r="P98" s="19">
        <f>COGS!Z10</f>
        <v/>
      </c>
      <c r="Q98" s="19">
        <f>COGS!AA10</f>
        <v/>
      </c>
      <c r="R98" s="19">
        <f>COGS!AB10</f>
        <v/>
      </c>
      <c r="S98" s="19">
        <f>COGS!AC10</f>
        <v/>
      </c>
      <c r="T98" s="19">
        <f>COGS!AD10</f>
        <v/>
      </c>
      <c r="U98" s="19">
        <f>COGS!AE10</f>
        <v/>
      </c>
      <c r="V98" s="19">
        <f>COGS!AF10</f>
        <v/>
      </c>
      <c r="W98" s="19">
        <f>COGS!AG10</f>
        <v/>
      </c>
      <c r="X98" s="19">
        <f>COGS!AH10</f>
        <v/>
      </c>
      <c r="Y98" s="19">
        <f>COGS!AI10</f>
        <v/>
      </c>
      <c r="Z98" s="19">
        <f>COGS!AJ10</f>
        <v/>
      </c>
      <c r="AA98" s="19">
        <f>COGS!AK10</f>
        <v/>
      </c>
      <c r="AB98" s="19">
        <f>COGS!AL10</f>
        <v/>
      </c>
      <c r="AC98" s="19">
        <f>COGS!AN10</f>
        <v/>
      </c>
      <c r="AD98" s="19">
        <f>COGS!AO10</f>
        <v/>
      </c>
    </row>
    <row r="99">
      <c r="A99" s="5" t="inlineStr">
        <is>
          <t>out_cogs_support</t>
        </is>
      </c>
      <c r="B99" s="5" t="inlineStr">
        <is>
          <t>COGS: Customer Success payroll</t>
        </is>
      </c>
      <c r="C99" s="2" t="inlineStr">
        <is>
          <t>GBP k</t>
        </is>
      </c>
      <c r="E99" s="19">
        <f>COGS!O11</f>
        <v/>
      </c>
      <c r="F99" s="19">
        <f>COGS!P11</f>
        <v/>
      </c>
      <c r="G99" s="19">
        <f>COGS!Q11</f>
        <v/>
      </c>
      <c r="H99" s="19">
        <f>COGS!R11</f>
        <v/>
      </c>
      <c r="I99" s="19">
        <f>COGS!S11</f>
        <v/>
      </c>
      <c r="J99" s="19">
        <f>COGS!T11</f>
        <v/>
      </c>
      <c r="K99" s="19">
        <f>COGS!U11</f>
        <v/>
      </c>
      <c r="L99" s="19">
        <f>COGS!V11</f>
        <v/>
      </c>
      <c r="M99" s="19">
        <f>COGS!W11</f>
        <v/>
      </c>
      <c r="N99" s="19">
        <f>COGS!X11</f>
        <v/>
      </c>
      <c r="O99" s="19">
        <f>COGS!Y11</f>
        <v/>
      </c>
      <c r="P99" s="19">
        <f>COGS!Z11</f>
        <v/>
      </c>
      <c r="Q99" s="19">
        <f>COGS!AA11</f>
        <v/>
      </c>
      <c r="R99" s="19">
        <f>COGS!AB11</f>
        <v/>
      </c>
      <c r="S99" s="19">
        <f>COGS!AC11</f>
        <v/>
      </c>
      <c r="T99" s="19">
        <f>COGS!AD11</f>
        <v/>
      </c>
      <c r="U99" s="19">
        <f>COGS!AE11</f>
        <v/>
      </c>
      <c r="V99" s="19">
        <f>COGS!AF11</f>
        <v/>
      </c>
      <c r="W99" s="19">
        <f>COGS!AG11</f>
        <v/>
      </c>
      <c r="X99" s="19">
        <f>COGS!AH11</f>
        <v/>
      </c>
      <c r="Y99" s="19">
        <f>COGS!AI11</f>
        <v/>
      </c>
      <c r="Z99" s="19">
        <f>COGS!AJ11</f>
        <v/>
      </c>
      <c r="AA99" s="19">
        <f>COGS!AK11</f>
        <v/>
      </c>
      <c r="AB99" s="19">
        <f>COGS!AL11</f>
        <v/>
      </c>
      <c r="AC99" s="19">
        <f>COGS!AN11</f>
        <v/>
      </c>
      <c r="AD99" s="19">
        <f>COGS!AO11</f>
        <v/>
      </c>
    </row>
    <row r="100">
      <c r="A100" s="5" t="inlineStr">
        <is>
          <t>out_cogs_svc</t>
        </is>
      </c>
      <c r="B100" s="5" t="inlineStr">
        <is>
          <t>COGS: Implementation delivery cost</t>
        </is>
      </c>
      <c r="C100" s="2" t="inlineStr">
        <is>
          <t>GBP k</t>
        </is>
      </c>
      <c r="E100" s="19">
        <f>COGS!O12</f>
        <v/>
      </c>
      <c r="F100" s="19">
        <f>COGS!P12</f>
        <v/>
      </c>
      <c r="G100" s="19">
        <f>COGS!Q12</f>
        <v/>
      </c>
      <c r="H100" s="19">
        <f>COGS!R12</f>
        <v/>
      </c>
      <c r="I100" s="19">
        <f>COGS!S12</f>
        <v/>
      </c>
      <c r="J100" s="19">
        <f>COGS!T12</f>
        <v/>
      </c>
      <c r="K100" s="19">
        <f>COGS!U12</f>
        <v/>
      </c>
      <c r="L100" s="19">
        <f>COGS!V12</f>
        <v/>
      </c>
      <c r="M100" s="19">
        <f>COGS!W12</f>
        <v/>
      </c>
      <c r="N100" s="19">
        <f>COGS!X12</f>
        <v/>
      </c>
      <c r="O100" s="19">
        <f>COGS!Y12</f>
        <v/>
      </c>
      <c r="P100" s="19">
        <f>COGS!Z12</f>
        <v/>
      </c>
      <c r="Q100" s="19">
        <f>COGS!AA12</f>
        <v/>
      </c>
      <c r="R100" s="19">
        <f>COGS!AB12</f>
        <v/>
      </c>
      <c r="S100" s="19">
        <f>COGS!AC12</f>
        <v/>
      </c>
      <c r="T100" s="19">
        <f>COGS!AD12</f>
        <v/>
      </c>
      <c r="U100" s="19">
        <f>COGS!AE12</f>
        <v/>
      </c>
      <c r="V100" s="19">
        <f>COGS!AF12</f>
        <v/>
      </c>
      <c r="W100" s="19">
        <f>COGS!AG12</f>
        <v/>
      </c>
      <c r="X100" s="19">
        <f>COGS!AH12</f>
        <v/>
      </c>
      <c r="Y100" s="19">
        <f>COGS!AI12</f>
        <v/>
      </c>
      <c r="Z100" s="19">
        <f>COGS!AJ12</f>
        <v/>
      </c>
      <c r="AA100" s="19">
        <f>COGS!AK12</f>
        <v/>
      </c>
      <c r="AB100" s="19">
        <f>COGS!AL12</f>
        <v/>
      </c>
      <c r="AC100" s="19">
        <f>COGS!AN12</f>
        <v/>
      </c>
      <c r="AD100" s="19">
        <f>COGS!AO12</f>
        <v/>
      </c>
    </row>
    <row r="101">
      <c r="A101" s="5" t="inlineStr">
        <is>
          <t>out_cogs_cogs_tot</t>
        </is>
      </c>
      <c r="B101" s="5" t="inlineStr">
        <is>
          <t>COGS: Total COGS</t>
        </is>
      </c>
      <c r="C101" s="2" t="inlineStr">
        <is>
          <t>GBP k</t>
        </is>
      </c>
      <c r="E101" s="19">
        <f>COGS!O13</f>
        <v/>
      </c>
      <c r="F101" s="19">
        <f>COGS!P13</f>
        <v/>
      </c>
      <c r="G101" s="19">
        <f>COGS!Q13</f>
        <v/>
      </c>
      <c r="H101" s="19">
        <f>COGS!R13</f>
        <v/>
      </c>
      <c r="I101" s="19">
        <f>COGS!S13</f>
        <v/>
      </c>
      <c r="J101" s="19">
        <f>COGS!T13</f>
        <v/>
      </c>
      <c r="K101" s="19">
        <f>COGS!U13</f>
        <v/>
      </c>
      <c r="L101" s="19">
        <f>COGS!V13</f>
        <v/>
      </c>
      <c r="M101" s="19">
        <f>COGS!W13</f>
        <v/>
      </c>
      <c r="N101" s="19">
        <f>COGS!X13</f>
        <v/>
      </c>
      <c r="O101" s="19">
        <f>COGS!Y13</f>
        <v/>
      </c>
      <c r="P101" s="19">
        <f>COGS!Z13</f>
        <v/>
      </c>
      <c r="Q101" s="19">
        <f>COGS!AA13</f>
        <v/>
      </c>
      <c r="R101" s="19">
        <f>COGS!AB13</f>
        <v/>
      </c>
      <c r="S101" s="19">
        <f>COGS!AC13</f>
        <v/>
      </c>
      <c r="T101" s="19">
        <f>COGS!AD13</f>
        <v/>
      </c>
      <c r="U101" s="19">
        <f>COGS!AE13</f>
        <v/>
      </c>
      <c r="V101" s="19">
        <f>COGS!AF13</f>
        <v/>
      </c>
      <c r="W101" s="19">
        <f>COGS!AG13</f>
        <v/>
      </c>
      <c r="X101" s="19">
        <f>COGS!AH13</f>
        <v/>
      </c>
      <c r="Y101" s="19">
        <f>COGS!AI13</f>
        <v/>
      </c>
      <c r="Z101" s="19">
        <f>COGS!AJ13</f>
        <v/>
      </c>
      <c r="AA101" s="19">
        <f>COGS!AK13</f>
        <v/>
      </c>
      <c r="AB101" s="19">
        <f>COGS!AL13</f>
        <v/>
      </c>
      <c r="AC101" s="19">
        <f>COGS!AN13</f>
        <v/>
      </c>
      <c r="AD101" s="19">
        <f>COGS!AO13</f>
        <v/>
      </c>
    </row>
    <row r="102">
      <c r="A102" s="5" t="inlineStr">
        <is>
          <t>out_cogs_gm_sub</t>
        </is>
      </c>
      <c r="B102" s="5" t="inlineStr">
        <is>
          <t>COGS: Subscription gross margin</t>
        </is>
      </c>
      <c r="C102" s="2" t="inlineStr">
        <is>
          <t>%</t>
        </is>
      </c>
      <c r="E102" s="17">
        <f>COGS!O18</f>
        <v/>
      </c>
      <c r="F102" s="17">
        <f>COGS!P18</f>
        <v/>
      </c>
      <c r="G102" s="17">
        <f>COGS!Q18</f>
        <v/>
      </c>
      <c r="H102" s="17">
        <f>COGS!R18</f>
        <v/>
      </c>
      <c r="I102" s="17">
        <f>COGS!S18</f>
        <v/>
      </c>
      <c r="J102" s="17">
        <f>COGS!T18</f>
        <v/>
      </c>
      <c r="K102" s="17">
        <f>COGS!U18</f>
        <v/>
      </c>
      <c r="L102" s="17">
        <f>COGS!V18</f>
        <v/>
      </c>
      <c r="M102" s="17">
        <f>COGS!W18</f>
        <v/>
      </c>
      <c r="N102" s="17">
        <f>COGS!X18</f>
        <v/>
      </c>
      <c r="O102" s="17">
        <f>COGS!Y18</f>
        <v/>
      </c>
      <c r="P102" s="17">
        <f>COGS!Z18</f>
        <v/>
      </c>
      <c r="Q102" s="17">
        <f>COGS!AA18</f>
        <v/>
      </c>
      <c r="R102" s="17">
        <f>COGS!AB18</f>
        <v/>
      </c>
      <c r="S102" s="17">
        <f>COGS!AC18</f>
        <v/>
      </c>
      <c r="T102" s="17">
        <f>COGS!AD18</f>
        <v/>
      </c>
      <c r="U102" s="17">
        <f>COGS!AE18</f>
        <v/>
      </c>
      <c r="V102" s="17">
        <f>COGS!AF18</f>
        <v/>
      </c>
      <c r="W102" s="17">
        <f>COGS!AG18</f>
        <v/>
      </c>
      <c r="X102" s="17">
        <f>COGS!AH18</f>
        <v/>
      </c>
      <c r="Y102" s="17">
        <f>COGS!AI18</f>
        <v/>
      </c>
      <c r="Z102" s="17">
        <f>COGS!AJ18</f>
        <v/>
      </c>
      <c r="AA102" s="17">
        <f>COGS!AK18</f>
        <v/>
      </c>
      <c r="AB102" s="17">
        <f>COGS!AL18</f>
        <v/>
      </c>
      <c r="AC102" s="17">
        <f>COGS!AN18</f>
        <v/>
      </c>
      <c r="AD102" s="17">
        <f>COGS!AO18</f>
        <v/>
      </c>
    </row>
    <row r="103">
      <c r="A103" s="5" t="inlineStr">
        <is>
          <t>out_cogs_gm_svc</t>
        </is>
      </c>
      <c r="B103" s="5" t="inlineStr">
        <is>
          <t>COGS: Implementation gross margin</t>
        </is>
      </c>
      <c r="C103" s="2" t="inlineStr">
        <is>
          <t>%</t>
        </is>
      </c>
      <c r="E103" s="17">
        <f>COGS!O21</f>
        <v/>
      </c>
      <c r="F103" s="17">
        <f>COGS!P21</f>
        <v/>
      </c>
      <c r="G103" s="17">
        <f>COGS!Q21</f>
        <v/>
      </c>
      <c r="H103" s="17">
        <f>COGS!R21</f>
        <v/>
      </c>
      <c r="I103" s="17">
        <f>COGS!S21</f>
        <v/>
      </c>
      <c r="J103" s="17">
        <f>COGS!T21</f>
        <v/>
      </c>
      <c r="K103" s="17">
        <f>COGS!U21</f>
        <v/>
      </c>
      <c r="L103" s="17">
        <f>COGS!V21</f>
        <v/>
      </c>
      <c r="M103" s="17">
        <f>COGS!W21</f>
        <v/>
      </c>
      <c r="N103" s="17">
        <f>COGS!X21</f>
        <v/>
      </c>
      <c r="O103" s="17">
        <f>COGS!Y21</f>
        <v/>
      </c>
      <c r="P103" s="17">
        <f>COGS!Z21</f>
        <v/>
      </c>
      <c r="Q103" s="17">
        <f>COGS!AA21</f>
        <v/>
      </c>
      <c r="R103" s="17">
        <f>COGS!AB21</f>
        <v/>
      </c>
      <c r="S103" s="17">
        <f>COGS!AC21</f>
        <v/>
      </c>
      <c r="T103" s="17">
        <f>COGS!AD21</f>
        <v/>
      </c>
      <c r="U103" s="17">
        <f>COGS!AE21</f>
        <v/>
      </c>
      <c r="V103" s="17">
        <f>COGS!AF21</f>
        <v/>
      </c>
      <c r="W103" s="17">
        <f>COGS!AG21</f>
        <v/>
      </c>
      <c r="X103" s="17">
        <f>COGS!AH21</f>
        <v/>
      </c>
      <c r="Y103" s="17">
        <f>COGS!AI21</f>
        <v/>
      </c>
      <c r="Z103" s="17">
        <f>COGS!AJ21</f>
        <v/>
      </c>
      <c r="AA103" s="17">
        <f>COGS!AK21</f>
        <v/>
      </c>
      <c r="AB103" s="17">
        <f>COGS!AL21</f>
        <v/>
      </c>
      <c r="AC103" s="17">
        <f>COGS!AN21</f>
        <v/>
      </c>
      <c r="AD103" s="17">
        <f>COGS!AO21</f>
        <v/>
      </c>
    </row>
    <row r="104">
      <c r="A104" s="5" t="inlineStr">
        <is>
          <t>out_cogs_gm_tot</t>
        </is>
      </c>
      <c r="B104" s="5" t="inlineStr">
        <is>
          <t>COGS: Blended gross margin</t>
        </is>
      </c>
      <c r="C104" s="2" t="inlineStr">
        <is>
          <t>%</t>
        </is>
      </c>
      <c r="E104" s="17">
        <f>COGS!O23</f>
        <v/>
      </c>
      <c r="F104" s="17">
        <f>COGS!P23</f>
        <v/>
      </c>
      <c r="G104" s="17">
        <f>COGS!Q23</f>
        <v/>
      </c>
      <c r="H104" s="17">
        <f>COGS!R23</f>
        <v/>
      </c>
      <c r="I104" s="17">
        <f>COGS!S23</f>
        <v/>
      </c>
      <c r="J104" s="17">
        <f>COGS!T23</f>
        <v/>
      </c>
      <c r="K104" s="17">
        <f>COGS!U23</f>
        <v/>
      </c>
      <c r="L104" s="17">
        <f>COGS!V23</f>
        <v/>
      </c>
      <c r="M104" s="17">
        <f>COGS!W23</f>
        <v/>
      </c>
      <c r="N104" s="17">
        <f>COGS!X23</f>
        <v/>
      </c>
      <c r="O104" s="17">
        <f>COGS!Y23</f>
        <v/>
      </c>
      <c r="P104" s="17">
        <f>COGS!Z23</f>
        <v/>
      </c>
      <c r="Q104" s="17">
        <f>COGS!AA23</f>
        <v/>
      </c>
      <c r="R104" s="17">
        <f>COGS!AB23</f>
        <v/>
      </c>
      <c r="S104" s="17">
        <f>COGS!AC23</f>
        <v/>
      </c>
      <c r="T104" s="17">
        <f>COGS!AD23</f>
        <v/>
      </c>
      <c r="U104" s="17">
        <f>COGS!AE23</f>
        <v/>
      </c>
      <c r="V104" s="17">
        <f>COGS!AF23</f>
        <v/>
      </c>
      <c r="W104" s="17">
        <f>COGS!AG23</f>
        <v/>
      </c>
      <c r="X104" s="17">
        <f>COGS!AH23</f>
        <v/>
      </c>
      <c r="Y104" s="17">
        <f>COGS!AI23</f>
        <v/>
      </c>
      <c r="Z104" s="17">
        <f>COGS!AJ23</f>
        <v/>
      </c>
      <c r="AA104" s="17">
        <f>COGS!AK23</f>
        <v/>
      </c>
      <c r="AB104" s="17">
        <f>COGS!AL23</f>
        <v/>
      </c>
      <c r="AC104" s="17">
        <f>COGS!AN23</f>
        <v/>
      </c>
      <c r="AD104" s="17">
        <f>COGS!AO23</f>
        <v/>
      </c>
    </row>
    <row r="105">
      <c r="A105" s="5" t="inlineStr">
        <is>
          <t>out_is_rev_ent</t>
        </is>
      </c>
      <c r="B105" s="5" t="inlineStr">
        <is>
          <t>IS: Subscription - Enterprise</t>
        </is>
      </c>
      <c r="C105" s="2" t="inlineStr">
        <is>
          <t>GBP k</t>
        </is>
      </c>
      <c r="E105" s="19">
        <f>IS!O9</f>
        <v/>
      </c>
      <c r="F105" s="19">
        <f>IS!P9</f>
        <v/>
      </c>
      <c r="G105" s="19">
        <f>IS!Q9</f>
        <v/>
      </c>
      <c r="H105" s="19">
        <f>IS!R9</f>
        <v/>
      </c>
      <c r="I105" s="19">
        <f>IS!S9</f>
        <v/>
      </c>
      <c r="J105" s="19">
        <f>IS!T9</f>
        <v/>
      </c>
      <c r="K105" s="19">
        <f>IS!U9</f>
        <v/>
      </c>
      <c r="L105" s="19">
        <f>IS!V9</f>
        <v/>
      </c>
      <c r="M105" s="19">
        <f>IS!W9</f>
        <v/>
      </c>
      <c r="N105" s="19">
        <f>IS!X9</f>
        <v/>
      </c>
      <c r="O105" s="19">
        <f>IS!Y9</f>
        <v/>
      </c>
      <c r="P105" s="19">
        <f>IS!Z9</f>
        <v/>
      </c>
      <c r="Q105" s="19">
        <f>IS!AA9</f>
        <v/>
      </c>
      <c r="R105" s="19">
        <f>IS!AB9</f>
        <v/>
      </c>
      <c r="S105" s="19">
        <f>IS!AC9</f>
        <v/>
      </c>
      <c r="T105" s="19">
        <f>IS!AD9</f>
        <v/>
      </c>
      <c r="U105" s="19">
        <f>IS!AE9</f>
        <v/>
      </c>
      <c r="V105" s="19">
        <f>IS!AF9</f>
        <v/>
      </c>
      <c r="W105" s="19">
        <f>IS!AG9</f>
        <v/>
      </c>
      <c r="X105" s="19">
        <f>IS!AH9</f>
        <v/>
      </c>
      <c r="Y105" s="19">
        <f>IS!AI9</f>
        <v/>
      </c>
      <c r="Z105" s="19">
        <f>IS!AJ9</f>
        <v/>
      </c>
      <c r="AA105" s="19">
        <f>IS!AK9</f>
        <v/>
      </c>
      <c r="AB105" s="19">
        <f>IS!AL9</f>
        <v/>
      </c>
      <c r="AC105" s="19">
        <f>IS!AN9</f>
        <v/>
      </c>
      <c r="AD105" s="19">
        <f>IS!AO9</f>
        <v/>
      </c>
    </row>
    <row r="106">
      <c r="A106" s="5" t="inlineStr">
        <is>
          <t>out_is_rev_mid</t>
        </is>
      </c>
      <c r="B106" s="5" t="inlineStr">
        <is>
          <t>IS: Subscription - Mid-market</t>
        </is>
      </c>
      <c r="C106" s="2" t="inlineStr">
        <is>
          <t>GBP k</t>
        </is>
      </c>
      <c r="E106" s="19">
        <f>IS!O10</f>
        <v/>
      </c>
      <c r="F106" s="19">
        <f>IS!P10</f>
        <v/>
      </c>
      <c r="G106" s="19">
        <f>IS!Q10</f>
        <v/>
      </c>
      <c r="H106" s="19">
        <f>IS!R10</f>
        <v/>
      </c>
      <c r="I106" s="19">
        <f>IS!S10</f>
        <v/>
      </c>
      <c r="J106" s="19">
        <f>IS!T10</f>
        <v/>
      </c>
      <c r="K106" s="19">
        <f>IS!U10</f>
        <v/>
      </c>
      <c r="L106" s="19">
        <f>IS!V10</f>
        <v/>
      </c>
      <c r="M106" s="19">
        <f>IS!W10</f>
        <v/>
      </c>
      <c r="N106" s="19">
        <f>IS!X10</f>
        <v/>
      </c>
      <c r="O106" s="19">
        <f>IS!Y10</f>
        <v/>
      </c>
      <c r="P106" s="19">
        <f>IS!Z10</f>
        <v/>
      </c>
      <c r="Q106" s="19">
        <f>IS!AA10</f>
        <v/>
      </c>
      <c r="R106" s="19">
        <f>IS!AB10</f>
        <v/>
      </c>
      <c r="S106" s="19">
        <f>IS!AC10</f>
        <v/>
      </c>
      <c r="T106" s="19">
        <f>IS!AD10</f>
        <v/>
      </c>
      <c r="U106" s="19">
        <f>IS!AE10</f>
        <v/>
      </c>
      <c r="V106" s="19">
        <f>IS!AF10</f>
        <v/>
      </c>
      <c r="W106" s="19">
        <f>IS!AG10</f>
        <v/>
      </c>
      <c r="X106" s="19">
        <f>IS!AH10</f>
        <v/>
      </c>
      <c r="Y106" s="19">
        <f>IS!AI10</f>
        <v/>
      </c>
      <c r="Z106" s="19">
        <f>IS!AJ10</f>
        <v/>
      </c>
      <c r="AA106" s="19">
        <f>IS!AK10</f>
        <v/>
      </c>
      <c r="AB106" s="19">
        <f>IS!AL10</f>
        <v/>
      </c>
      <c r="AC106" s="19">
        <f>IS!AN10</f>
        <v/>
      </c>
      <c r="AD106" s="19">
        <f>IS!AO10</f>
        <v/>
      </c>
    </row>
    <row r="107">
      <c r="A107" s="5" t="inlineStr">
        <is>
          <t>out_is_rev_impl</t>
        </is>
      </c>
      <c r="B107" s="5" t="inlineStr">
        <is>
          <t>IS: Implementation</t>
        </is>
      </c>
      <c r="C107" s="2" t="inlineStr">
        <is>
          <t>GBP k</t>
        </is>
      </c>
      <c r="E107" s="19">
        <f>IS!O11</f>
        <v/>
      </c>
      <c r="F107" s="19">
        <f>IS!P11</f>
        <v/>
      </c>
      <c r="G107" s="19">
        <f>IS!Q11</f>
        <v/>
      </c>
      <c r="H107" s="19">
        <f>IS!R11</f>
        <v/>
      </c>
      <c r="I107" s="19">
        <f>IS!S11</f>
        <v/>
      </c>
      <c r="J107" s="19">
        <f>IS!T11</f>
        <v/>
      </c>
      <c r="K107" s="19">
        <f>IS!U11</f>
        <v/>
      </c>
      <c r="L107" s="19">
        <f>IS!V11</f>
        <v/>
      </c>
      <c r="M107" s="19">
        <f>IS!W11</f>
        <v/>
      </c>
      <c r="N107" s="19">
        <f>IS!X11</f>
        <v/>
      </c>
      <c r="O107" s="19">
        <f>IS!Y11</f>
        <v/>
      </c>
      <c r="P107" s="19">
        <f>IS!Z11</f>
        <v/>
      </c>
      <c r="Q107" s="19">
        <f>IS!AA11</f>
        <v/>
      </c>
      <c r="R107" s="19">
        <f>IS!AB11</f>
        <v/>
      </c>
      <c r="S107" s="19">
        <f>IS!AC11</f>
        <v/>
      </c>
      <c r="T107" s="19">
        <f>IS!AD11</f>
        <v/>
      </c>
      <c r="U107" s="19">
        <f>IS!AE11</f>
        <v/>
      </c>
      <c r="V107" s="19">
        <f>IS!AF11</f>
        <v/>
      </c>
      <c r="W107" s="19">
        <f>IS!AG11</f>
        <v/>
      </c>
      <c r="X107" s="19">
        <f>IS!AH11</f>
        <v/>
      </c>
      <c r="Y107" s="19">
        <f>IS!AI11</f>
        <v/>
      </c>
      <c r="Z107" s="19">
        <f>IS!AJ11</f>
        <v/>
      </c>
      <c r="AA107" s="19">
        <f>IS!AK11</f>
        <v/>
      </c>
      <c r="AB107" s="19">
        <f>IS!AL11</f>
        <v/>
      </c>
      <c r="AC107" s="19">
        <f>IS!AN11</f>
        <v/>
      </c>
      <c r="AD107" s="19">
        <f>IS!AO11</f>
        <v/>
      </c>
    </row>
    <row r="108">
      <c r="A108" s="5" t="inlineStr">
        <is>
          <t>out_is_rev_tot</t>
        </is>
      </c>
      <c r="B108" s="5" t="inlineStr">
        <is>
          <t>IS: Total revenue</t>
        </is>
      </c>
      <c r="C108" s="2" t="inlineStr">
        <is>
          <t>GBP k</t>
        </is>
      </c>
      <c r="E108" s="19">
        <f>IS!O12</f>
        <v/>
      </c>
      <c r="F108" s="19">
        <f>IS!P12</f>
        <v/>
      </c>
      <c r="G108" s="19">
        <f>IS!Q12</f>
        <v/>
      </c>
      <c r="H108" s="19">
        <f>IS!R12</f>
        <v/>
      </c>
      <c r="I108" s="19">
        <f>IS!S12</f>
        <v/>
      </c>
      <c r="J108" s="19">
        <f>IS!T12</f>
        <v/>
      </c>
      <c r="K108" s="19">
        <f>IS!U12</f>
        <v/>
      </c>
      <c r="L108" s="19">
        <f>IS!V12</f>
        <v/>
      </c>
      <c r="M108" s="19">
        <f>IS!W12</f>
        <v/>
      </c>
      <c r="N108" s="19">
        <f>IS!X12</f>
        <v/>
      </c>
      <c r="O108" s="19">
        <f>IS!Y12</f>
        <v/>
      </c>
      <c r="P108" s="19">
        <f>IS!Z12</f>
        <v/>
      </c>
      <c r="Q108" s="19">
        <f>IS!AA12</f>
        <v/>
      </c>
      <c r="R108" s="19">
        <f>IS!AB12</f>
        <v/>
      </c>
      <c r="S108" s="19">
        <f>IS!AC12</f>
        <v/>
      </c>
      <c r="T108" s="19">
        <f>IS!AD12</f>
        <v/>
      </c>
      <c r="U108" s="19">
        <f>IS!AE12</f>
        <v/>
      </c>
      <c r="V108" s="19">
        <f>IS!AF12</f>
        <v/>
      </c>
      <c r="W108" s="19">
        <f>IS!AG12</f>
        <v/>
      </c>
      <c r="X108" s="19">
        <f>IS!AH12</f>
        <v/>
      </c>
      <c r="Y108" s="19">
        <f>IS!AI12</f>
        <v/>
      </c>
      <c r="Z108" s="19">
        <f>IS!AJ12</f>
        <v/>
      </c>
      <c r="AA108" s="19">
        <f>IS!AK12</f>
        <v/>
      </c>
      <c r="AB108" s="19">
        <f>IS!AL12</f>
        <v/>
      </c>
      <c r="AC108" s="19">
        <f>IS!AN12</f>
        <v/>
      </c>
      <c r="AD108" s="19">
        <f>IS!AO12</f>
        <v/>
      </c>
    </row>
    <row r="109">
      <c r="A109" s="5" t="inlineStr">
        <is>
          <t>out_is_c_host</t>
        </is>
      </c>
      <c r="B109" s="5" t="inlineStr">
        <is>
          <t>IS: Hosting</t>
        </is>
      </c>
      <c r="C109" s="2" t="inlineStr">
        <is>
          <t>GBP k</t>
        </is>
      </c>
      <c r="E109" s="19">
        <f>IS!O15</f>
        <v/>
      </c>
      <c r="F109" s="19">
        <f>IS!P15</f>
        <v/>
      </c>
      <c r="G109" s="19">
        <f>IS!Q15</f>
        <v/>
      </c>
      <c r="H109" s="19">
        <f>IS!R15</f>
        <v/>
      </c>
      <c r="I109" s="19">
        <f>IS!S15</f>
        <v/>
      </c>
      <c r="J109" s="19">
        <f>IS!T15</f>
        <v/>
      </c>
      <c r="K109" s="19">
        <f>IS!U15</f>
        <v/>
      </c>
      <c r="L109" s="19">
        <f>IS!V15</f>
        <v/>
      </c>
      <c r="M109" s="19">
        <f>IS!W15</f>
        <v/>
      </c>
      <c r="N109" s="19">
        <f>IS!X15</f>
        <v/>
      </c>
      <c r="O109" s="19">
        <f>IS!Y15</f>
        <v/>
      </c>
      <c r="P109" s="19">
        <f>IS!Z15</f>
        <v/>
      </c>
      <c r="Q109" s="19">
        <f>IS!AA15</f>
        <v/>
      </c>
      <c r="R109" s="19">
        <f>IS!AB15</f>
        <v/>
      </c>
      <c r="S109" s="19">
        <f>IS!AC15</f>
        <v/>
      </c>
      <c r="T109" s="19">
        <f>IS!AD15</f>
        <v/>
      </c>
      <c r="U109" s="19">
        <f>IS!AE15</f>
        <v/>
      </c>
      <c r="V109" s="19">
        <f>IS!AF15</f>
        <v/>
      </c>
      <c r="W109" s="19">
        <f>IS!AG15</f>
        <v/>
      </c>
      <c r="X109" s="19">
        <f>IS!AH15</f>
        <v/>
      </c>
      <c r="Y109" s="19">
        <f>IS!AI15</f>
        <v/>
      </c>
      <c r="Z109" s="19">
        <f>IS!AJ15</f>
        <v/>
      </c>
      <c r="AA109" s="19">
        <f>IS!AK15</f>
        <v/>
      </c>
      <c r="AB109" s="19">
        <f>IS!AL15</f>
        <v/>
      </c>
      <c r="AC109" s="19">
        <f>IS!AN15</f>
        <v/>
      </c>
      <c r="AD109" s="19">
        <f>IS!AO15</f>
        <v/>
      </c>
    </row>
    <row r="110">
      <c r="A110" s="5" t="inlineStr">
        <is>
          <t>out_is_c_lic</t>
        </is>
      </c>
      <c r="B110" s="5" t="inlineStr">
        <is>
          <t>IS: Third-party licences</t>
        </is>
      </c>
      <c r="C110" s="2" t="inlineStr">
        <is>
          <t>GBP k</t>
        </is>
      </c>
      <c r="E110" s="19">
        <f>IS!O16</f>
        <v/>
      </c>
      <c r="F110" s="19">
        <f>IS!P16</f>
        <v/>
      </c>
      <c r="G110" s="19">
        <f>IS!Q16</f>
        <v/>
      </c>
      <c r="H110" s="19">
        <f>IS!R16</f>
        <v/>
      </c>
      <c r="I110" s="19">
        <f>IS!S16</f>
        <v/>
      </c>
      <c r="J110" s="19">
        <f>IS!T16</f>
        <v/>
      </c>
      <c r="K110" s="19">
        <f>IS!U16</f>
        <v/>
      </c>
      <c r="L110" s="19">
        <f>IS!V16</f>
        <v/>
      </c>
      <c r="M110" s="19">
        <f>IS!W16</f>
        <v/>
      </c>
      <c r="N110" s="19">
        <f>IS!X16</f>
        <v/>
      </c>
      <c r="O110" s="19">
        <f>IS!Y16</f>
        <v/>
      </c>
      <c r="P110" s="19">
        <f>IS!Z16</f>
        <v/>
      </c>
      <c r="Q110" s="19">
        <f>IS!AA16</f>
        <v/>
      </c>
      <c r="R110" s="19">
        <f>IS!AB16</f>
        <v/>
      </c>
      <c r="S110" s="19">
        <f>IS!AC16</f>
        <v/>
      </c>
      <c r="T110" s="19">
        <f>IS!AD16</f>
        <v/>
      </c>
      <c r="U110" s="19">
        <f>IS!AE16</f>
        <v/>
      </c>
      <c r="V110" s="19">
        <f>IS!AF16</f>
        <v/>
      </c>
      <c r="W110" s="19">
        <f>IS!AG16</f>
        <v/>
      </c>
      <c r="X110" s="19">
        <f>IS!AH16</f>
        <v/>
      </c>
      <c r="Y110" s="19">
        <f>IS!AI16</f>
        <v/>
      </c>
      <c r="Z110" s="19">
        <f>IS!AJ16</f>
        <v/>
      </c>
      <c r="AA110" s="19">
        <f>IS!AK16</f>
        <v/>
      </c>
      <c r="AB110" s="19">
        <f>IS!AL16</f>
        <v/>
      </c>
      <c r="AC110" s="19">
        <f>IS!AN16</f>
        <v/>
      </c>
      <c r="AD110" s="19">
        <f>IS!AO16</f>
        <v/>
      </c>
    </row>
    <row r="111">
      <c r="A111" s="5" t="inlineStr">
        <is>
          <t>out_is_c_support</t>
        </is>
      </c>
      <c r="B111" s="5" t="inlineStr">
        <is>
          <t>IS: Customer Success</t>
        </is>
      </c>
      <c r="C111" s="2" t="inlineStr">
        <is>
          <t>GBP k</t>
        </is>
      </c>
      <c r="E111" s="19">
        <f>IS!O17</f>
        <v/>
      </c>
      <c r="F111" s="19">
        <f>IS!P17</f>
        <v/>
      </c>
      <c r="G111" s="19">
        <f>IS!Q17</f>
        <v/>
      </c>
      <c r="H111" s="19">
        <f>IS!R17</f>
        <v/>
      </c>
      <c r="I111" s="19">
        <f>IS!S17</f>
        <v/>
      </c>
      <c r="J111" s="19">
        <f>IS!T17</f>
        <v/>
      </c>
      <c r="K111" s="19">
        <f>IS!U17</f>
        <v/>
      </c>
      <c r="L111" s="19">
        <f>IS!V17</f>
        <v/>
      </c>
      <c r="M111" s="19">
        <f>IS!W17</f>
        <v/>
      </c>
      <c r="N111" s="19">
        <f>IS!X17</f>
        <v/>
      </c>
      <c r="O111" s="19">
        <f>IS!Y17</f>
        <v/>
      </c>
      <c r="P111" s="19">
        <f>IS!Z17</f>
        <v/>
      </c>
      <c r="Q111" s="19">
        <f>IS!AA17</f>
        <v/>
      </c>
      <c r="R111" s="19">
        <f>IS!AB17</f>
        <v/>
      </c>
      <c r="S111" s="19">
        <f>IS!AC17</f>
        <v/>
      </c>
      <c r="T111" s="19">
        <f>IS!AD17</f>
        <v/>
      </c>
      <c r="U111" s="19">
        <f>IS!AE17</f>
        <v/>
      </c>
      <c r="V111" s="19">
        <f>IS!AF17</f>
        <v/>
      </c>
      <c r="W111" s="19">
        <f>IS!AG17</f>
        <v/>
      </c>
      <c r="X111" s="19">
        <f>IS!AH17</f>
        <v/>
      </c>
      <c r="Y111" s="19">
        <f>IS!AI17</f>
        <v/>
      </c>
      <c r="Z111" s="19">
        <f>IS!AJ17</f>
        <v/>
      </c>
      <c r="AA111" s="19">
        <f>IS!AK17</f>
        <v/>
      </c>
      <c r="AB111" s="19">
        <f>IS!AL17</f>
        <v/>
      </c>
      <c r="AC111" s="19">
        <f>IS!AN17</f>
        <v/>
      </c>
      <c r="AD111" s="19">
        <f>IS!AO17</f>
        <v/>
      </c>
    </row>
    <row r="112">
      <c r="A112" s="5" t="inlineStr">
        <is>
          <t>out_is_c_svc</t>
        </is>
      </c>
      <c r="B112" s="5" t="inlineStr">
        <is>
          <t>IS: Implementation delivery</t>
        </is>
      </c>
      <c r="C112" s="2" t="inlineStr">
        <is>
          <t>GBP k</t>
        </is>
      </c>
      <c r="E112" s="19">
        <f>IS!O18</f>
        <v/>
      </c>
      <c r="F112" s="19">
        <f>IS!P18</f>
        <v/>
      </c>
      <c r="G112" s="19">
        <f>IS!Q18</f>
        <v/>
      </c>
      <c r="H112" s="19">
        <f>IS!R18</f>
        <v/>
      </c>
      <c r="I112" s="19">
        <f>IS!S18</f>
        <v/>
      </c>
      <c r="J112" s="19">
        <f>IS!T18</f>
        <v/>
      </c>
      <c r="K112" s="19">
        <f>IS!U18</f>
        <v/>
      </c>
      <c r="L112" s="19">
        <f>IS!V18</f>
        <v/>
      </c>
      <c r="M112" s="19">
        <f>IS!W18</f>
        <v/>
      </c>
      <c r="N112" s="19">
        <f>IS!X18</f>
        <v/>
      </c>
      <c r="O112" s="19">
        <f>IS!Y18</f>
        <v/>
      </c>
      <c r="P112" s="19">
        <f>IS!Z18</f>
        <v/>
      </c>
      <c r="Q112" s="19">
        <f>IS!AA18</f>
        <v/>
      </c>
      <c r="R112" s="19">
        <f>IS!AB18</f>
        <v/>
      </c>
      <c r="S112" s="19">
        <f>IS!AC18</f>
        <v/>
      </c>
      <c r="T112" s="19">
        <f>IS!AD18</f>
        <v/>
      </c>
      <c r="U112" s="19">
        <f>IS!AE18</f>
        <v/>
      </c>
      <c r="V112" s="19">
        <f>IS!AF18</f>
        <v/>
      </c>
      <c r="W112" s="19">
        <f>IS!AG18</f>
        <v/>
      </c>
      <c r="X112" s="19">
        <f>IS!AH18</f>
        <v/>
      </c>
      <c r="Y112" s="19">
        <f>IS!AI18</f>
        <v/>
      </c>
      <c r="Z112" s="19">
        <f>IS!AJ18</f>
        <v/>
      </c>
      <c r="AA112" s="19">
        <f>IS!AK18</f>
        <v/>
      </c>
      <c r="AB112" s="19">
        <f>IS!AL18</f>
        <v/>
      </c>
      <c r="AC112" s="19">
        <f>IS!AN18</f>
        <v/>
      </c>
      <c r="AD112" s="19">
        <f>IS!AO18</f>
        <v/>
      </c>
    </row>
    <row r="113">
      <c r="A113" s="5" t="inlineStr">
        <is>
          <t>out_is_cogs_tot</t>
        </is>
      </c>
      <c r="B113" s="5" t="inlineStr">
        <is>
          <t>IS: Total cost of revenue</t>
        </is>
      </c>
      <c r="C113" s="2" t="inlineStr">
        <is>
          <t>GBP k</t>
        </is>
      </c>
      <c r="E113" s="19">
        <f>IS!O19</f>
        <v/>
      </c>
      <c r="F113" s="19">
        <f>IS!P19</f>
        <v/>
      </c>
      <c r="G113" s="19">
        <f>IS!Q19</f>
        <v/>
      </c>
      <c r="H113" s="19">
        <f>IS!R19</f>
        <v/>
      </c>
      <c r="I113" s="19">
        <f>IS!S19</f>
        <v/>
      </c>
      <c r="J113" s="19">
        <f>IS!T19</f>
        <v/>
      </c>
      <c r="K113" s="19">
        <f>IS!U19</f>
        <v/>
      </c>
      <c r="L113" s="19">
        <f>IS!V19</f>
        <v/>
      </c>
      <c r="M113" s="19">
        <f>IS!W19</f>
        <v/>
      </c>
      <c r="N113" s="19">
        <f>IS!X19</f>
        <v/>
      </c>
      <c r="O113" s="19">
        <f>IS!Y19</f>
        <v/>
      </c>
      <c r="P113" s="19">
        <f>IS!Z19</f>
        <v/>
      </c>
      <c r="Q113" s="19">
        <f>IS!AA19</f>
        <v/>
      </c>
      <c r="R113" s="19">
        <f>IS!AB19</f>
        <v/>
      </c>
      <c r="S113" s="19">
        <f>IS!AC19</f>
        <v/>
      </c>
      <c r="T113" s="19">
        <f>IS!AD19</f>
        <v/>
      </c>
      <c r="U113" s="19">
        <f>IS!AE19</f>
        <v/>
      </c>
      <c r="V113" s="19">
        <f>IS!AF19</f>
        <v/>
      </c>
      <c r="W113" s="19">
        <f>IS!AG19</f>
        <v/>
      </c>
      <c r="X113" s="19">
        <f>IS!AH19</f>
        <v/>
      </c>
      <c r="Y113" s="19">
        <f>IS!AI19</f>
        <v/>
      </c>
      <c r="Z113" s="19">
        <f>IS!AJ19</f>
        <v/>
      </c>
      <c r="AA113" s="19">
        <f>IS!AK19</f>
        <v/>
      </c>
      <c r="AB113" s="19">
        <f>IS!AL19</f>
        <v/>
      </c>
      <c r="AC113" s="19">
        <f>IS!AN19</f>
        <v/>
      </c>
      <c r="AD113" s="19">
        <f>IS!AO19</f>
        <v/>
      </c>
    </row>
    <row r="114">
      <c r="A114" s="5" t="inlineStr">
        <is>
          <t>out_is_gp</t>
        </is>
      </c>
      <c r="B114" s="5" t="inlineStr">
        <is>
          <t>IS: Gross profit</t>
        </is>
      </c>
      <c r="C114" s="2" t="inlineStr">
        <is>
          <t>GBP k</t>
        </is>
      </c>
      <c r="E114" s="19">
        <f>IS!O20</f>
        <v/>
      </c>
      <c r="F114" s="19">
        <f>IS!P20</f>
        <v/>
      </c>
      <c r="G114" s="19">
        <f>IS!Q20</f>
        <v/>
      </c>
      <c r="H114" s="19">
        <f>IS!R20</f>
        <v/>
      </c>
      <c r="I114" s="19">
        <f>IS!S20</f>
        <v/>
      </c>
      <c r="J114" s="19">
        <f>IS!T20</f>
        <v/>
      </c>
      <c r="K114" s="19">
        <f>IS!U20</f>
        <v/>
      </c>
      <c r="L114" s="19">
        <f>IS!V20</f>
        <v/>
      </c>
      <c r="M114" s="19">
        <f>IS!W20</f>
        <v/>
      </c>
      <c r="N114" s="19">
        <f>IS!X20</f>
        <v/>
      </c>
      <c r="O114" s="19">
        <f>IS!Y20</f>
        <v/>
      </c>
      <c r="P114" s="19">
        <f>IS!Z20</f>
        <v/>
      </c>
      <c r="Q114" s="19">
        <f>IS!AA20</f>
        <v/>
      </c>
      <c r="R114" s="19">
        <f>IS!AB20</f>
        <v/>
      </c>
      <c r="S114" s="19">
        <f>IS!AC20</f>
        <v/>
      </c>
      <c r="T114" s="19">
        <f>IS!AD20</f>
        <v/>
      </c>
      <c r="U114" s="19">
        <f>IS!AE20</f>
        <v/>
      </c>
      <c r="V114" s="19">
        <f>IS!AF20</f>
        <v/>
      </c>
      <c r="W114" s="19">
        <f>IS!AG20</f>
        <v/>
      </c>
      <c r="X114" s="19">
        <f>IS!AH20</f>
        <v/>
      </c>
      <c r="Y114" s="19">
        <f>IS!AI20</f>
        <v/>
      </c>
      <c r="Z114" s="19">
        <f>IS!AJ20</f>
        <v/>
      </c>
      <c r="AA114" s="19">
        <f>IS!AK20</f>
        <v/>
      </c>
      <c r="AB114" s="19">
        <f>IS!AL20</f>
        <v/>
      </c>
      <c r="AC114" s="19">
        <f>IS!AN20</f>
        <v/>
      </c>
      <c r="AD114" s="19">
        <f>IS!AO20</f>
        <v/>
      </c>
    </row>
    <row r="115">
      <c r="A115" s="5" t="inlineStr">
        <is>
          <t>out_is_gm</t>
        </is>
      </c>
      <c r="B115" s="5" t="inlineStr">
        <is>
          <t>IS: Gross margin</t>
        </is>
      </c>
      <c r="C115" s="2" t="inlineStr">
        <is>
          <t>%</t>
        </is>
      </c>
      <c r="E115" s="17">
        <f>IS!O21</f>
        <v/>
      </c>
      <c r="F115" s="17">
        <f>IS!P21</f>
        <v/>
      </c>
      <c r="G115" s="17">
        <f>IS!Q21</f>
        <v/>
      </c>
      <c r="H115" s="17">
        <f>IS!R21</f>
        <v/>
      </c>
      <c r="I115" s="17">
        <f>IS!S21</f>
        <v/>
      </c>
      <c r="J115" s="17">
        <f>IS!T21</f>
        <v/>
      </c>
      <c r="K115" s="17">
        <f>IS!U21</f>
        <v/>
      </c>
      <c r="L115" s="17">
        <f>IS!V21</f>
        <v/>
      </c>
      <c r="M115" s="17">
        <f>IS!W21</f>
        <v/>
      </c>
      <c r="N115" s="17">
        <f>IS!X21</f>
        <v/>
      </c>
      <c r="O115" s="17">
        <f>IS!Y21</f>
        <v/>
      </c>
      <c r="P115" s="17">
        <f>IS!Z21</f>
        <v/>
      </c>
      <c r="Q115" s="17">
        <f>IS!AA21</f>
        <v/>
      </c>
      <c r="R115" s="17">
        <f>IS!AB21</f>
        <v/>
      </c>
      <c r="S115" s="17">
        <f>IS!AC21</f>
        <v/>
      </c>
      <c r="T115" s="17">
        <f>IS!AD21</f>
        <v/>
      </c>
      <c r="U115" s="17">
        <f>IS!AE21</f>
        <v/>
      </c>
      <c r="V115" s="17">
        <f>IS!AF21</f>
        <v/>
      </c>
      <c r="W115" s="17">
        <f>IS!AG21</f>
        <v/>
      </c>
      <c r="X115" s="17">
        <f>IS!AH21</f>
        <v/>
      </c>
      <c r="Y115" s="17">
        <f>IS!AI21</f>
        <v/>
      </c>
      <c r="Z115" s="17">
        <f>IS!AJ21</f>
        <v/>
      </c>
      <c r="AA115" s="17">
        <f>IS!AK21</f>
        <v/>
      </c>
      <c r="AB115" s="17">
        <f>IS!AL21</f>
        <v/>
      </c>
      <c r="AC115" s="17">
        <f>IS!AN21</f>
        <v/>
      </c>
      <c r="AD115" s="17">
        <f>IS!AO21</f>
        <v/>
      </c>
    </row>
    <row r="116">
      <c r="A116" s="5" t="inlineStr">
        <is>
          <t>out_is_o_rd</t>
        </is>
      </c>
      <c r="B116" s="5" t="inlineStr">
        <is>
          <t>IS: Research &amp; development</t>
        </is>
      </c>
      <c r="C116" s="2" t="inlineStr">
        <is>
          <t>GBP k</t>
        </is>
      </c>
      <c r="E116" s="19">
        <f>IS!O24</f>
        <v/>
      </c>
      <c r="F116" s="19">
        <f>IS!P24</f>
        <v/>
      </c>
      <c r="G116" s="19">
        <f>IS!Q24</f>
        <v/>
      </c>
      <c r="H116" s="19">
        <f>IS!R24</f>
        <v/>
      </c>
      <c r="I116" s="19">
        <f>IS!S24</f>
        <v/>
      </c>
      <c r="J116" s="19">
        <f>IS!T24</f>
        <v/>
      </c>
      <c r="K116" s="19">
        <f>IS!U24</f>
        <v/>
      </c>
      <c r="L116" s="19">
        <f>IS!V24</f>
        <v/>
      </c>
      <c r="M116" s="19">
        <f>IS!W24</f>
        <v/>
      </c>
      <c r="N116" s="19">
        <f>IS!X24</f>
        <v/>
      </c>
      <c r="O116" s="19">
        <f>IS!Y24</f>
        <v/>
      </c>
      <c r="P116" s="19">
        <f>IS!Z24</f>
        <v/>
      </c>
      <c r="Q116" s="19">
        <f>IS!AA24</f>
        <v/>
      </c>
      <c r="R116" s="19">
        <f>IS!AB24</f>
        <v/>
      </c>
      <c r="S116" s="19">
        <f>IS!AC24</f>
        <v/>
      </c>
      <c r="T116" s="19">
        <f>IS!AD24</f>
        <v/>
      </c>
      <c r="U116" s="19">
        <f>IS!AE24</f>
        <v/>
      </c>
      <c r="V116" s="19">
        <f>IS!AF24</f>
        <v/>
      </c>
      <c r="W116" s="19">
        <f>IS!AG24</f>
        <v/>
      </c>
      <c r="X116" s="19">
        <f>IS!AH24</f>
        <v/>
      </c>
      <c r="Y116" s="19">
        <f>IS!AI24</f>
        <v/>
      </c>
      <c r="Z116" s="19">
        <f>IS!AJ24</f>
        <v/>
      </c>
      <c r="AA116" s="19">
        <f>IS!AK24</f>
        <v/>
      </c>
      <c r="AB116" s="19">
        <f>IS!AL24</f>
        <v/>
      </c>
      <c r="AC116" s="19">
        <f>IS!AN24</f>
        <v/>
      </c>
      <c r="AD116" s="19">
        <f>IS!AO24</f>
        <v/>
      </c>
    </row>
    <row r="117">
      <c r="A117" s="5" t="inlineStr">
        <is>
          <t>out_is_o_sm</t>
        </is>
      </c>
      <c r="B117" s="5" t="inlineStr">
        <is>
          <t>IS: Sales &amp; marketing</t>
        </is>
      </c>
      <c r="C117" s="2" t="inlineStr">
        <is>
          <t>GBP k</t>
        </is>
      </c>
      <c r="E117" s="19">
        <f>IS!O25</f>
        <v/>
      </c>
      <c r="F117" s="19">
        <f>IS!P25</f>
        <v/>
      </c>
      <c r="G117" s="19">
        <f>IS!Q25</f>
        <v/>
      </c>
      <c r="H117" s="19">
        <f>IS!R25</f>
        <v/>
      </c>
      <c r="I117" s="19">
        <f>IS!S25</f>
        <v/>
      </c>
      <c r="J117" s="19">
        <f>IS!T25</f>
        <v/>
      </c>
      <c r="K117" s="19">
        <f>IS!U25</f>
        <v/>
      </c>
      <c r="L117" s="19">
        <f>IS!V25</f>
        <v/>
      </c>
      <c r="M117" s="19">
        <f>IS!W25</f>
        <v/>
      </c>
      <c r="N117" s="19">
        <f>IS!X25</f>
        <v/>
      </c>
      <c r="O117" s="19">
        <f>IS!Y25</f>
        <v/>
      </c>
      <c r="P117" s="19">
        <f>IS!Z25</f>
        <v/>
      </c>
      <c r="Q117" s="19">
        <f>IS!AA25</f>
        <v/>
      </c>
      <c r="R117" s="19">
        <f>IS!AB25</f>
        <v/>
      </c>
      <c r="S117" s="19">
        <f>IS!AC25</f>
        <v/>
      </c>
      <c r="T117" s="19">
        <f>IS!AD25</f>
        <v/>
      </c>
      <c r="U117" s="19">
        <f>IS!AE25</f>
        <v/>
      </c>
      <c r="V117" s="19">
        <f>IS!AF25</f>
        <v/>
      </c>
      <c r="W117" s="19">
        <f>IS!AG25</f>
        <v/>
      </c>
      <c r="X117" s="19">
        <f>IS!AH25</f>
        <v/>
      </c>
      <c r="Y117" s="19">
        <f>IS!AI25</f>
        <v/>
      </c>
      <c r="Z117" s="19">
        <f>IS!AJ25</f>
        <v/>
      </c>
      <c r="AA117" s="19">
        <f>IS!AK25</f>
        <v/>
      </c>
      <c r="AB117" s="19">
        <f>IS!AL25</f>
        <v/>
      </c>
      <c r="AC117" s="19">
        <f>IS!AN25</f>
        <v/>
      </c>
      <c r="AD117" s="19">
        <f>IS!AO25</f>
        <v/>
      </c>
    </row>
    <row r="118">
      <c r="A118" s="5" t="inlineStr">
        <is>
          <t>out_is_o_ga</t>
        </is>
      </c>
      <c r="B118" s="5" t="inlineStr">
        <is>
          <t>IS: General &amp; administrative</t>
        </is>
      </c>
      <c r="C118" s="2" t="inlineStr">
        <is>
          <t>GBP k</t>
        </is>
      </c>
      <c r="E118" s="19">
        <f>IS!O26</f>
        <v/>
      </c>
      <c r="F118" s="19">
        <f>IS!P26</f>
        <v/>
      </c>
      <c r="G118" s="19">
        <f>IS!Q26</f>
        <v/>
      </c>
      <c r="H118" s="19">
        <f>IS!R26</f>
        <v/>
      </c>
      <c r="I118" s="19">
        <f>IS!S26</f>
        <v/>
      </c>
      <c r="J118" s="19">
        <f>IS!T26</f>
        <v/>
      </c>
      <c r="K118" s="19">
        <f>IS!U26</f>
        <v/>
      </c>
      <c r="L118" s="19">
        <f>IS!V26</f>
        <v/>
      </c>
      <c r="M118" s="19">
        <f>IS!W26</f>
        <v/>
      </c>
      <c r="N118" s="19">
        <f>IS!X26</f>
        <v/>
      </c>
      <c r="O118" s="19">
        <f>IS!Y26</f>
        <v/>
      </c>
      <c r="P118" s="19">
        <f>IS!Z26</f>
        <v/>
      </c>
      <c r="Q118" s="19">
        <f>IS!AA26</f>
        <v/>
      </c>
      <c r="R118" s="19">
        <f>IS!AB26</f>
        <v/>
      </c>
      <c r="S118" s="19">
        <f>IS!AC26</f>
        <v/>
      </c>
      <c r="T118" s="19">
        <f>IS!AD26</f>
        <v/>
      </c>
      <c r="U118" s="19">
        <f>IS!AE26</f>
        <v/>
      </c>
      <c r="V118" s="19">
        <f>IS!AF26</f>
        <v/>
      </c>
      <c r="W118" s="19">
        <f>IS!AG26</f>
        <v/>
      </c>
      <c r="X118" s="19">
        <f>IS!AH26</f>
        <v/>
      </c>
      <c r="Y118" s="19">
        <f>IS!AI26</f>
        <v/>
      </c>
      <c r="Z118" s="19">
        <f>IS!AJ26</f>
        <v/>
      </c>
      <c r="AA118" s="19">
        <f>IS!AK26</f>
        <v/>
      </c>
      <c r="AB118" s="19">
        <f>IS!AL26</f>
        <v/>
      </c>
      <c r="AC118" s="19">
        <f>IS!AN26</f>
        <v/>
      </c>
      <c r="AD118" s="19">
        <f>IS!AO26</f>
        <v/>
      </c>
    </row>
    <row r="119">
      <c r="A119" s="5" t="inlineStr">
        <is>
          <t>out_is_opex_tot</t>
        </is>
      </c>
      <c r="B119" s="5" t="inlineStr">
        <is>
          <t>IS: Total operating expense</t>
        </is>
      </c>
      <c r="C119" s="2" t="inlineStr">
        <is>
          <t>GBP k</t>
        </is>
      </c>
      <c r="E119" s="19">
        <f>IS!O27</f>
        <v/>
      </c>
      <c r="F119" s="19">
        <f>IS!P27</f>
        <v/>
      </c>
      <c r="G119" s="19">
        <f>IS!Q27</f>
        <v/>
      </c>
      <c r="H119" s="19">
        <f>IS!R27</f>
        <v/>
      </c>
      <c r="I119" s="19">
        <f>IS!S27</f>
        <v/>
      </c>
      <c r="J119" s="19">
        <f>IS!T27</f>
        <v/>
      </c>
      <c r="K119" s="19">
        <f>IS!U27</f>
        <v/>
      </c>
      <c r="L119" s="19">
        <f>IS!V27</f>
        <v/>
      </c>
      <c r="M119" s="19">
        <f>IS!W27</f>
        <v/>
      </c>
      <c r="N119" s="19">
        <f>IS!X27</f>
        <v/>
      </c>
      <c r="O119" s="19">
        <f>IS!Y27</f>
        <v/>
      </c>
      <c r="P119" s="19">
        <f>IS!Z27</f>
        <v/>
      </c>
      <c r="Q119" s="19">
        <f>IS!AA27</f>
        <v/>
      </c>
      <c r="R119" s="19">
        <f>IS!AB27</f>
        <v/>
      </c>
      <c r="S119" s="19">
        <f>IS!AC27</f>
        <v/>
      </c>
      <c r="T119" s="19">
        <f>IS!AD27</f>
        <v/>
      </c>
      <c r="U119" s="19">
        <f>IS!AE27</f>
        <v/>
      </c>
      <c r="V119" s="19">
        <f>IS!AF27</f>
        <v/>
      </c>
      <c r="W119" s="19">
        <f>IS!AG27</f>
        <v/>
      </c>
      <c r="X119" s="19">
        <f>IS!AH27</f>
        <v/>
      </c>
      <c r="Y119" s="19">
        <f>IS!AI27</f>
        <v/>
      </c>
      <c r="Z119" s="19">
        <f>IS!AJ27</f>
        <v/>
      </c>
      <c r="AA119" s="19">
        <f>IS!AK27</f>
        <v/>
      </c>
      <c r="AB119" s="19">
        <f>IS!AL27</f>
        <v/>
      </c>
      <c r="AC119" s="19">
        <f>IS!AN27</f>
        <v/>
      </c>
      <c r="AD119" s="19">
        <f>IS!AO27</f>
        <v/>
      </c>
    </row>
    <row r="120">
      <c r="A120" s="5" t="inlineStr">
        <is>
          <t>out_is_ebitda</t>
        </is>
      </c>
      <c r="B120" s="5" t="inlineStr">
        <is>
          <t>IS: EBITDA</t>
        </is>
      </c>
      <c r="C120" s="2" t="inlineStr">
        <is>
          <t>GBP k</t>
        </is>
      </c>
      <c r="E120" s="19">
        <f>IS!O29</f>
        <v/>
      </c>
      <c r="F120" s="19">
        <f>IS!P29</f>
        <v/>
      </c>
      <c r="G120" s="19">
        <f>IS!Q29</f>
        <v/>
      </c>
      <c r="H120" s="19">
        <f>IS!R29</f>
        <v/>
      </c>
      <c r="I120" s="19">
        <f>IS!S29</f>
        <v/>
      </c>
      <c r="J120" s="19">
        <f>IS!T29</f>
        <v/>
      </c>
      <c r="K120" s="19">
        <f>IS!U29</f>
        <v/>
      </c>
      <c r="L120" s="19">
        <f>IS!V29</f>
        <v/>
      </c>
      <c r="M120" s="19">
        <f>IS!W29</f>
        <v/>
      </c>
      <c r="N120" s="19">
        <f>IS!X29</f>
        <v/>
      </c>
      <c r="O120" s="19">
        <f>IS!Y29</f>
        <v/>
      </c>
      <c r="P120" s="19">
        <f>IS!Z29</f>
        <v/>
      </c>
      <c r="Q120" s="19">
        <f>IS!AA29</f>
        <v/>
      </c>
      <c r="R120" s="19">
        <f>IS!AB29</f>
        <v/>
      </c>
      <c r="S120" s="19">
        <f>IS!AC29</f>
        <v/>
      </c>
      <c r="T120" s="19">
        <f>IS!AD29</f>
        <v/>
      </c>
      <c r="U120" s="19">
        <f>IS!AE29</f>
        <v/>
      </c>
      <c r="V120" s="19">
        <f>IS!AF29</f>
        <v/>
      </c>
      <c r="W120" s="19">
        <f>IS!AG29</f>
        <v/>
      </c>
      <c r="X120" s="19">
        <f>IS!AH29</f>
        <v/>
      </c>
      <c r="Y120" s="19">
        <f>IS!AI29</f>
        <v/>
      </c>
      <c r="Z120" s="19">
        <f>IS!AJ29</f>
        <v/>
      </c>
      <c r="AA120" s="19">
        <f>IS!AK29</f>
        <v/>
      </c>
      <c r="AB120" s="19">
        <f>IS!AL29</f>
        <v/>
      </c>
      <c r="AC120" s="19">
        <f>IS!AN29</f>
        <v/>
      </c>
      <c r="AD120" s="19">
        <f>IS!AO29</f>
        <v/>
      </c>
    </row>
    <row r="121">
      <c r="A121" s="5" t="inlineStr">
        <is>
          <t>out_is_ebitda_m</t>
        </is>
      </c>
      <c r="B121" s="5" t="inlineStr">
        <is>
          <t>IS: EBITDA margin</t>
        </is>
      </c>
      <c r="C121" s="2" t="inlineStr">
        <is>
          <t>%</t>
        </is>
      </c>
      <c r="E121" s="17">
        <f>IS!O30</f>
        <v/>
      </c>
      <c r="F121" s="17">
        <f>IS!P30</f>
        <v/>
      </c>
      <c r="G121" s="17">
        <f>IS!Q30</f>
        <v/>
      </c>
      <c r="H121" s="17">
        <f>IS!R30</f>
        <v/>
      </c>
      <c r="I121" s="17">
        <f>IS!S30</f>
        <v/>
      </c>
      <c r="J121" s="17">
        <f>IS!T30</f>
        <v/>
      </c>
      <c r="K121" s="17">
        <f>IS!U30</f>
        <v/>
      </c>
      <c r="L121" s="17">
        <f>IS!V30</f>
        <v/>
      </c>
      <c r="M121" s="17">
        <f>IS!W30</f>
        <v/>
      </c>
      <c r="N121" s="17">
        <f>IS!X30</f>
        <v/>
      </c>
      <c r="O121" s="17">
        <f>IS!Y30</f>
        <v/>
      </c>
      <c r="P121" s="17">
        <f>IS!Z30</f>
        <v/>
      </c>
      <c r="Q121" s="17">
        <f>IS!AA30</f>
        <v/>
      </c>
      <c r="R121" s="17">
        <f>IS!AB30</f>
        <v/>
      </c>
      <c r="S121" s="17">
        <f>IS!AC30</f>
        <v/>
      </c>
      <c r="T121" s="17">
        <f>IS!AD30</f>
        <v/>
      </c>
      <c r="U121" s="17">
        <f>IS!AE30</f>
        <v/>
      </c>
      <c r="V121" s="17">
        <f>IS!AF30</f>
        <v/>
      </c>
      <c r="W121" s="17">
        <f>IS!AG30</f>
        <v/>
      </c>
      <c r="X121" s="17">
        <f>IS!AH30</f>
        <v/>
      </c>
      <c r="Y121" s="17">
        <f>IS!AI30</f>
        <v/>
      </c>
      <c r="Z121" s="17">
        <f>IS!AJ30</f>
        <v/>
      </c>
      <c r="AA121" s="17">
        <f>IS!AK30</f>
        <v/>
      </c>
      <c r="AB121" s="17">
        <f>IS!AL30</f>
        <v/>
      </c>
      <c r="AC121" s="17">
        <f>IS!AN30</f>
        <v/>
      </c>
      <c r="AD121" s="17">
        <f>IS!AO30</f>
        <v/>
      </c>
    </row>
    <row r="122">
      <c r="A122" s="5" t="inlineStr">
        <is>
          <t>out_is_da</t>
        </is>
      </c>
      <c r="B122" s="5" t="inlineStr">
        <is>
          <t>IS: Depreciation</t>
        </is>
      </c>
      <c r="C122" s="2" t="inlineStr">
        <is>
          <t>GBP k</t>
        </is>
      </c>
      <c r="E122" s="19">
        <f>IS!O31</f>
        <v/>
      </c>
      <c r="F122" s="19">
        <f>IS!P31</f>
        <v/>
      </c>
      <c r="G122" s="19">
        <f>IS!Q31</f>
        <v/>
      </c>
      <c r="H122" s="19">
        <f>IS!R31</f>
        <v/>
      </c>
      <c r="I122" s="19">
        <f>IS!S31</f>
        <v/>
      </c>
      <c r="J122" s="19">
        <f>IS!T31</f>
        <v/>
      </c>
      <c r="K122" s="19">
        <f>IS!U31</f>
        <v/>
      </c>
      <c r="L122" s="19">
        <f>IS!V31</f>
        <v/>
      </c>
      <c r="M122" s="19">
        <f>IS!W31</f>
        <v/>
      </c>
      <c r="N122" s="19">
        <f>IS!X31</f>
        <v/>
      </c>
      <c r="O122" s="19">
        <f>IS!Y31</f>
        <v/>
      </c>
      <c r="P122" s="19">
        <f>IS!Z31</f>
        <v/>
      </c>
      <c r="Q122" s="19">
        <f>IS!AA31</f>
        <v/>
      </c>
      <c r="R122" s="19">
        <f>IS!AB31</f>
        <v/>
      </c>
      <c r="S122" s="19">
        <f>IS!AC31</f>
        <v/>
      </c>
      <c r="T122" s="19">
        <f>IS!AD31</f>
        <v/>
      </c>
      <c r="U122" s="19">
        <f>IS!AE31</f>
        <v/>
      </c>
      <c r="V122" s="19">
        <f>IS!AF31</f>
        <v/>
      </c>
      <c r="W122" s="19">
        <f>IS!AG31</f>
        <v/>
      </c>
      <c r="X122" s="19">
        <f>IS!AH31</f>
        <v/>
      </c>
      <c r="Y122" s="19">
        <f>IS!AI31</f>
        <v/>
      </c>
      <c r="Z122" s="19">
        <f>IS!AJ31</f>
        <v/>
      </c>
      <c r="AA122" s="19">
        <f>IS!AK31</f>
        <v/>
      </c>
      <c r="AB122" s="19">
        <f>IS!AL31</f>
        <v/>
      </c>
      <c r="AC122" s="19">
        <f>IS!AN31</f>
        <v/>
      </c>
      <c r="AD122" s="19">
        <f>IS!AO31</f>
        <v/>
      </c>
    </row>
    <row r="123">
      <c r="A123" s="5" t="inlineStr">
        <is>
          <t>out_is_ebit</t>
        </is>
      </c>
      <c r="B123" s="5" t="inlineStr">
        <is>
          <t>IS: Operating profit (EBIT)</t>
        </is>
      </c>
      <c r="C123" s="2" t="inlineStr">
        <is>
          <t>GBP k</t>
        </is>
      </c>
      <c r="E123" s="19">
        <f>IS!O32</f>
        <v/>
      </c>
      <c r="F123" s="19">
        <f>IS!P32</f>
        <v/>
      </c>
      <c r="G123" s="19">
        <f>IS!Q32</f>
        <v/>
      </c>
      <c r="H123" s="19">
        <f>IS!R32</f>
        <v/>
      </c>
      <c r="I123" s="19">
        <f>IS!S32</f>
        <v/>
      </c>
      <c r="J123" s="19">
        <f>IS!T32</f>
        <v/>
      </c>
      <c r="K123" s="19">
        <f>IS!U32</f>
        <v/>
      </c>
      <c r="L123" s="19">
        <f>IS!V32</f>
        <v/>
      </c>
      <c r="M123" s="19">
        <f>IS!W32</f>
        <v/>
      </c>
      <c r="N123" s="19">
        <f>IS!X32</f>
        <v/>
      </c>
      <c r="O123" s="19">
        <f>IS!Y32</f>
        <v/>
      </c>
      <c r="P123" s="19">
        <f>IS!Z32</f>
        <v/>
      </c>
      <c r="Q123" s="19">
        <f>IS!AA32</f>
        <v/>
      </c>
      <c r="R123" s="19">
        <f>IS!AB32</f>
        <v/>
      </c>
      <c r="S123" s="19">
        <f>IS!AC32</f>
        <v/>
      </c>
      <c r="T123" s="19">
        <f>IS!AD32</f>
        <v/>
      </c>
      <c r="U123" s="19">
        <f>IS!AE32</f>
        <v/>
      </c>
      <c r="V123" s="19">
        <f>IS!AF32</f>
        <v/>
      </c>
      <c r="W123" s="19">
        <f>IS!AG32</f>
        <v/>
      </c>
      <c r="X123" s="19">
        <f>IS!AH32</f>
        <v/>
      </c>
      <c r="Y123" s="19">
        <f>IS!AI32</f>
        <v/>
      </c>
      <c r="Z123" s="19">
        <f>IS!AJ32</f>
        <v/>
      </c>
      <c r="AA123" s="19">
        <f>IS!AK32</f>
        <v/>
      </c>
      <c r="AB123" s="19">
        <f>IS!AL32</f>
        <v/>
      </c>
      <c r="AC123" s="19">
        <f>IS!AN32</f>
        <v/>
      </c>
      <c r="AD123" s="19">
        <f>IS!AO32</f>
        <v/>
      </c>
    </row>
    <row r="124">
      <c r="A124" s="5" t="inlineStr">
        <is>
          <t>out_is_interest</t>
        </is>
      </c>
      <c r="B124" s="5" t="inlineStr">
        <is>
          <t>IS: Interest income (on prior-period cash)</t>
        </is>
      </c>
      <c r="C124" s="2" t="inlineStr">
        <is>
          <t>GBP k</t>
        </is>
      </c>
      <c r="E124" s="19">
        <f>IS!O33</f>
        <v/>
      </c>
      <c r="F124" s="19">
        <f>IS!P33</f>
        <v/>
      </c>
      <c r="G124" s="19">
        <f>IS!Q33</f>
        <v/>
      </c>
      <c r="H124" s="19">
        <f>IS!R33</f>
        <v/>
      </c>
      <c r="I124" s="19">
        <f>IS!S33</f>
        <v/>
      </c>
      <c r="J124" s="19">
        <f>IS!T33</f>
        <v/>
      </c>
      <c r="K124" s="19">
        <f>IS!U33</f>
        <v/>
      </c>
      <c r="L124" s="19">
        <f>IS!V33</f>
        <v/>
      </c>
      <c r="M124" s="19">
        <f>IS!W33</f>
        <v/>
      </c>
      <c r="N124" s="19">
        <f>IS!X33</f>
        <v/>
      </c>
      <c r="O124" s="19">
        <f>IS!Y33</f>
        <v/>
      </c>
      <c r="P124" s="19">
        <f>IS!Z33</f>
        <v/>
      </c>
      <c r="Q124" s="19">
        <f>IS!AA33</f>
        <v/>
      </c>
      <c r="R124" s="19">
        <f>IS!AB33</f>
        <v/>
      </c>
      <c r="S124" s="19">
        <f>IS!AC33</f>
        <v/>
      </c>
      <c r="T124" s="19">
        <f>IS!AD33</f>
        <v/>
      </c>
      <c r="U124" s="19">
        <f>IS!AE33</f>
        <v/>
      </c>
      <c r="V124" s="19">
        <f>IS!AF33</f>
        <v/>
      </c>
      <c r="W124" s="19">
        <f>IS!AG33</f>
        <v/>
      </c>
      <c r="X124" s="19">
        <f>IS!AH33</f>
        <v/>
      </c>
      <c r="Y124" s="19">
        <f>IS!AI33</f>
        <v/>
      </c>
      <c r="Z124" s="19">
        <f>IS!AJ33</f>
        <v/>
      </c>
      <c r="AA124" s="19">
        <f>IS!AK33</f>
        <v/>
      </c>
      <c r="AB124" s="19">
        <f>IS!AL33</f>
        <v/>
      </c>
      <c r="AC124" s="19">
        <f>IS!AN33</f>
        <v/>
      </c>
      <c r="AD124" s="19">
        <f>IS!AO33</f>
        <v/>
      </c>
    </row>
    <row r="125">
      <c r="A125" s="5" t="inlineStr">
        <is>
          <t>out_is_pbt</t>
        </is>
      </c>
      <c r="B125" s="5" t="inlineStr">
        <is>
          <t>IS: Profit before tax</t>
        </is>
      </c>
      <c r="C125" s="2" t="inlineStr">
        <is>
          <t>GBP k</t>
        </is>
      </c>
      <c r="E125" s="19">
        <f>IS!O34</f>
        <v/>
      </c>
      <c r="F125" s="19">
        <f>IS!P34</f>
        <v/>
      </c>
      <c r="G125" s="19">
        <f>IS!Q34</f>
        <v/>
      </c>
      <c r="H125" s="19">
        <f>IS!R34</f>
        <v/>
      </c>
      <c r="I125" s="19">
        <f>IS!S34</f>
        <v/>
      </c>
      <c r="J125" s="19">
        <f>IS!T34</f>
        <v/>
      </c>
      <c r="K125" s="19">
        <f>IS!U34</f>
        <v/>
      </c>
      <c r="L125" s="19">
        <f>IS!V34</f>
        <v/>
      </c>
      <c r="M125" s="19">
        <f>IS!W34</f>
        <v/>
      </c>
      <c r="N125" s="19">
        <f>IS!X34</f>
        <v/>
      </c>
      <c r="O125" s="19">
        <f>IS!Y34</f>
        <v/>
      </c>
      <c r="P125" s="19">
        <f>IS!Z34</f>
        <v/>
      </c>
      <c r="Q125" s="19">
        <f>IS!AA34</f>
        <v/>
      </c>
      <c r="R125" s="19">
        <f>IS!AB34</f>
        <v/>
      </c>
      <c r="S125" s="19">
        <f>IS!AC34</f>
        <v/>
      </c>
      <c r="T125" s="19">
        <f>IS!AD34</f>
        <v/>
      </c>
      <c r="U125" s="19">
        <f>IS!AE34</f>
        <v/>
      </c>
      <c r="V125" s="19">
        <f>IS!AF34</f>
        <v/>
      </c>
      <c r="W125" s="19">
        <f>IS!AG34</f>
        <v/>
      </c>
      <c r="X125" s="19">
        <f>IS!AH34</f>
        <v/>
      </c>
      <c r="Y125" s="19">
        <f>IS!AI34</f>
        <v/>
      </c>
      <c r="Z125" s="19">
        <f>IS!AJ34</f>
        <v/>
      </c>
      <c r="AA125" s="19">
        <f>IS!AK34</f>
        <v/>
      </c>
      <c r="AB125" s="19">
        <f>IS!AL34</f>
        <v/>
      </c>
      <c r="AC125" s="19">
        <f>IS!AN34</f>
        <v/>
      </c>
      <c r="AD125" s="19">
        <f>IS!AO34</f>
        <v/>
      </c>
    </row>
    <row r="126">
      <c r="A126" s="5" t="inlineStr">
        <is>
          <t>out_is_tax</t>
        </is>
      </c>
      <c r="B126" s="5" t="inlineStr">
        <is>
          <t>IS: Tax</t>
        </is>
      </c>
      <c r="C126" s="2" t="inlineStr">
        <is>
          <t>GBP k</t>
        </is>
      </c>
      <c r="E126" s="19">
        <f>IS!O35</f>
        <v/>
      </c>
      <c r="F126" s="19">
        <f>IS!P35</f>
        <v/>
      </c>
      <c r="G126" s="19">
        <f>IS!Q35</f>
        <v/>
      </c>
      <c r="H126" s="19">
        <f>IS!R35</f>
        <v/>
      </c>
      <c r="I126" s="19">
        <f>IS!S35</f>
        <v/>
      </c>
      <c r="J126" s="19">
        <f>IS!T35</f>
        <v/>
      </c>
      <c r="K126" s="19">
        <f>IS!U35</f>
        <v/>
      </c>
      <c r="L126" s="19">
        <f>IS!V35</f>
        <v/>
      </c>
      <c r="M126" s="19">
        <f>IS!W35</f>
        <v/>
      </c>
      <c r="N126" s="19">
        <f>IS!X35</f>
        <v/>
      </c>
      <c r="O126" s="19">
        <f>IS!Y35</f>
        <v/>
      </c>
      <c r="P126" s="19">
        <f>IS!Z35</f>
        <v/>
      </c>
      <c r="Q126" s="19">
        <f>IS!AA35</f>
        <v/>
      </c>
      <c r="R126" s="19">
        <f>IS!AB35</f>
        <v/>
      </c>
      <c r="S126" s="19">
        <f>IS!AC35</f>
        <v/>
      </c>
      <c r="T126" s="19">
        <f>IS!AD35</f>
        <v/>
      </c>
      <c r="U126" s="19">
        <f>IS!AE35</f>
        <v/>
      </c>
      <c r="V126" s="19">
        <f>IS!AF35</f>
        <v/>
      </c>
      <c r="W126" s="19">
        <f>IS!AG35</f>
        <v/>
      </c>
      <c r="X126" s="19">
        <f>IS!AH35</f>
        <v/>
      </c>
      <c r="Y126" s="19">
        <f>IS!AI35</f>
        <v/>
      </c>
      <c r="Z126" s="19">
        <f>IS!AJ35</f>
        <v/>
      </c>
      <c r="AA126" s="19">
        <f>IS!AK35</f>
        <v/>
      </c>
      <c r="AB126" s="19">
        <f>IS!AL35</f>
        <v/>
      </c>
      <c r="AC126" s="19">
        <f>IS!AN35</f>
        <v/>
      </c>
      <c r="AD126" s="19">
        <f>IS!AO35</f>
        <v/>
      </c>
    </row>
    <row r="127">
      <c r="A127" s="5" t="inlineStr">
        <is>
          <t>out_is_ni</t>
        </is>
      </c>
      <c r="B127" s="5" t="inlineStr">
        <is>
          <t>IS: Net income</t>
        </is>
      </c>
      <c r="C127" s="2" t="inlineStr">
        <is>
          <t>GBP k</t>
        </is>
      </c>
      <c r="E127" s="19">
        <f>IS!O36</f>
        <v/>
      </c>
      <c r="F127" s="19">
        <f>IS!P36</f>
        <v/>
      </c>
      <c r="G127" s="19">
        <f>IS!Q36</f>
        <v/>
      </c>
      <c r="H127" s="19">
        <f>IS!R36</f>
        <v/>
      </c>
      <c r="I127" s="19">
        <f>IS!S36</f>
        <v/>
      </c>
      <c r="J127" s="19">
        <f>IS!T36</f>
        <v/>
      </c>
      <c r="K127" s="19">
        <f>IS!U36</f>
        <v/>
      </c>
      <c r="L127" s="19">
        <f>IS!V36</f>
        <v/>
      </c>
      <c r="M127" s="19">
        <f>IS!W36</f>
        <v/>
      </c>
      <c r="N127" s="19">
        <f>IS!X36</f>
        <v/>
      </c>
      <c r="O127" s="19">
        <f>IS!Y36</f>
        <v/>
      </c>
      <c r="P127" s="19">
        <f>IS!Z36</f>
        <v/>
      </c>
      <c r="Q127" s="19">
        <f>IS!AA36</f>
        <v/>
      </c>
      <c r="R127" s="19">
        <f>IS!AB36</f>
        <v/>
      </c>
      <c r="S127" s="19">
        <f>IS!AC36</f>
        <v/>
      </c>
      <c r="T127" s="19">
        <f>IS!AD36</f>
        <v/>
      </c>
      <c r="U127" s="19">
        <f>IS!AE36</f>
        <v/>
      </c>
      <c r="V127" s="19">
        <f>IS!AF36</f>
        <v/>
      </c>
      <c r="W127" s="19">
        <f>IS!AG36</f>
        <v/>
      </c>
      <c r="X127" s="19">
        <f>IS!AH36</f>
        <v/>
      </c>
      <c r="Y127" s="19">
        <f>IS!AI36</f>
        <v/>
      </c>
      <c r="Z127" s="19">
        <f>IS!AJ36</f>
        <v/>
      </c>
      <c r="AA127" s="19">
        <f>IS!AK36</f>
        <v/>
      </c>
      <c r="AB127" s="19">
        <f>IS!AL36</f>
        <v/>
      </c>
      <c r="AC127" s="19">
        <f>IS!AN36</f>
        <v/>
      </c>
      <c r="AD127" s="19">
        <f>IS!AO36</f>
        <v/>
      </c>
    </row>
    <row r="128">
      <c r="A128" s="5" t="inlineStr">
        <is>
          <t>out_bs_cash</t>
        </is>
      </c>
      <c r="B128" s="5" t="inlineStr">
        <is>
          <t>BS: Cash</t>
        </is>
      </c>
      <c r="C128" s="2" t="inlineStr">
        <is>
          <t>GBP k</t>
        </is>
      </c>
      <c r="D128" s="19">
        <f>BS!N9</f>
        <v/>
      </c>
      <c r="E128" s="19">
        <f>BS!O9</f>
        <v/>
      </c>
      <c r="F128" s="19">
        <f>BS!P9</f>
        <v/>
      </c>
      <c r="G128" s="19">
        <f>BS!Q9</f>
        <v/>
      </c>
      <c r="H128" s="19">
        <f>BS!R9</f>
        <v/>
      </c>
      <c r="I128" s="19">
        <f>BS!S9</f>
        <v/>
      </c>
      <c r="J128" s="19">
        <f>BS!T9</f>
        <v/>
      </c>
      <c r="K128" s="19">
        <f>BS!U9</f>
        <v/>
      </c>
      <c r="L128" s="19">
        <f>BS!V9</f>
        <v/>
      </c>
      <c r="M128" s="19">
        <f>BS!W9</f>
        <v/>
      </c>
      <c r="N128" s="19">
        <f>BS!X9</f>
        <v/>
      </c>
      <c r="O128" s="19">
        <f>BS!Y9</f>
        <v/>
      </c>
      <c r="P128" s="19">
        <f>BS!Z9</f>
        <v/>
      </c>
      <c r="Q128" s="19">
        <f>BS!AA9</f>
        <v/>
      </c>
      <c r="R128" s="19">
        <f>BS!AB9</f>
        <v/>
      </c>
      <c r="S128" s="19">
        <f>BS!AC9</f>
        <v/>
      </c>
      <c r="T128" s="19">
        <f>BS!AD9</f>
        <v/>
      </c>
      <c r="U128" s="19">
        <f>BS!AE9</f>
        <v/>
      </c>
      <c r="V128" s="19">
        <f>BS!AF9</f>
        <v/>
      </c>
      <c r="W128" s="19">
        <f>BS!AG9</f>
        <v/>
      </c>
      <c r="X128" s="19">
        <f>BS!AH9</f>
        <v/>
      </c>
      <c r="Y128" s="19">
        <f>BS!AI9</f>
        <v/>
      </c>
      <c r="Z128" s="19">
        <f>BS!AJ9</f>
        <v/>
      </c>
      <c r="AA128" s="19">
        <f>BS!AK9</f>
        <v/>
      </c>
      <c r="AB128" s="19">
        <f>BS!AL9</f>
        <v/>
      </c>
      <c r="AC128" s="19">
        <f>BS!AN9</f>
        <v/>
      </c>
      <c r="AD128" s="19">
        <f>BS!AO9</f>
        <v/>
      </c>
    </row>
    <row r="129">
      <c r="A129" s="5" t="inlineStr">
        <is>
          <t>out_bs_ar</t>
        </is>
      </c>
      <c r="B129" s="5" t="inlineStr">
        <is>
          <t>BS: Trade receivables</t>
        </is>
      </c>
      <c r="C129" s="2" t="inlineStr">
        <is>
          <t>GBP k</t>
        </is>
      </c>
      <c r="D129" s="19">
        <f>BS!N10</f>
        <v/>
      </c>
      <c r="E129" s="19">
        <f>BS!O10</f>
        <v/>
      </c>
      <c r="F129" s="19">
        <f>BS!P10</f>
        <v/>
      </c>
      <c r="G129" s="19">
        <f>BS!Q10</f>
        <v/>
      </c>
      <c r="H129" s="19">
        <f>BS!R10</f>
        <v/>
      </c>
      <c r="I129" s="19">
        <f>BS!S10</f>
        <v/>
      </c>
      <c r="J129" s="19">
        <f>BS!T10</f>
        <v/>
      </c>
      <c r="K129" s="19">
        <f>BS!U10</f>
        <v/>
      </c>
      <c r="L129" s="19">
        <f>BS!V10</f>
        <v/>
      </c>
      <c r="M129" s="19">
        <f>BS!W10</f>
        <v/>
      </c>
      <c r="N129" s="19">
        <f>BS!X10</f>
        <v/>
      </c>
      <c r="O129" s="19">
        <f>BS!Y10</f>
        <v/>
      </c>
      <c r="P129" s="19">
        <f>BS!Z10</f>
        <v/>
      </c>
      <c r="Q129" s="19">
        <f>BS!AA10</f>
        <v/>
      </c>
      <c r="R129" s="19">
        <f>BS!AB10</f>
        <v/>
      </c>
      <c r="S129" s="19">
        <f>BS!AC10</f>
        <v/>
      </c>
      <c r="T129" s="19">
        <f>BS!AD10</f>
        <v/>
      </c>
      <c r="U129" s="19">
        <f>BS!AE10</f>
        <v/>
      </c>
      <c r="V129" s="19">
        <f>BS!AF10</f>
        <v/>
      </c>
      <c r="W129" s="19">
        <f>BS!AG10</f>
        <v/>
      </c>
      <c r="X129" s="19">
        <f>BS!AH10</f>
        <v/>
      </c>
      <c r="Y129" s="19">
        <f>BS!AI10</f>
        <v/>
      </c>
      <c r="Z129" s="19">
        <f>BS!AJ10</f>
        <v/>
      </c>
      <c r="AA129" s="19">
        <f>BS!AK10</f>
        <v/>
      </c>
      <c r="AB129" s="19">
        <f>BS!AL10</f>
        <v/>
      </c>
      <c r="AC129" s="19">
        <f>BS!AN10</f>
        <v/>
      </c>
      <c r="AD129" s="19">
        <f>BS!AO10</f>
        <v/>
      </c>
    </row>
    <row r="130">
      <c r="A130" s="5" t="inlineStr">
        <is>
          <t>out_bs_ppe</t>
        </is>
      </c>
      <c r="B130" s="5" t="inlineStr">
        <is>
          <t>BS: PP&amp;E (net)</t>
        </is>
      </c>
      <c r="C130" s="2" t="inlineStr">
        <is>
          <t>GBP k</t>
        </is>
      </c>
      <c r="D130" s="19">
        <f>BS!N11</f>
        <v/>
      </c>
      <c r="E130" s="19">
        <f>BS!O11</f>
        <v/>
      </c>
      <c r="F130" s="19">
        <f>BS!P11</f>
        <v/>
      </c>
      <c r="G130" s="19">
        <f>BS!Q11</f>
        <v/>
      </c>
      <c r="H130" s="19">
        <f>BS!R11</f>
        <v/>
      </c>
      <c r="I130" s="19">
        <f>BS!S11</f>
        <v/>
      </c>
      <c r="J130" s="19">
        <f>BS!T11</f>
        <v/>
      </c>
      <c r="K130" s="19">
        <f>BS!U11</f>
        <v/>
      </c>
      <c r="L130" s="19">
        <f>BS!V11</f>
        <v/>
      </c>
      <c r="M130" s="19">
        <f>BS!W11</f>
        <v/>
      </c>
      <c r="N130" s="19">
        <f>BS!X11</f>
        <v/>
      </c>
      <c r="O130" s="19">
        <f>BS!Y11</f>
        <v/>
      </c>
      <c r="P130" s="19">
        <f>BS!Z11</f>
        <v/>
      </c>
      <c r="Q130" s="19">
        <f>BS!AA11</f>
        <v/>
      </c>
      <c r="R130" s="19">
        <f>BS!AB11</f>
        <v/>
      </c>
      <c r="S130" s="19">
        <f>BS!AC11</f>
        <v/>
      </c>
      <c r="T130" s="19">
        <f>BS!AD11</f>
        <v/>
      </c>
      <c r="U130" s="19">
        <f>BS!AE11</f>
        <v/>
      </c>
      <c r="V130" s="19">
        <f>BS!AF11</f>
        <v/>
      </c>
      <c r="W130" s="19">
        <f>BS!AG11</f>
        <v/>
      </c>
      <c r="X130" s="19">
        <f>BS!AH11</f>
        <v/>
      </c>
      <c r="Y130" s="19">
        <f>BS!AI11</f>
        <v/>
      </c>
      <c r="Z130" s="19">
        <f>BS!AJ11</f>
        <v/>
      </c>
      <c r="AA130" s="19">
        <f>BS!AK11</f>
        <v/>
      </c>
      <c r="AB130" s="19">
        <f>BS!AL11</f>
        <v/>
      </c>
      <c r="AC130" s="19">
        <f>BS!AN11</f>
        <v/>
      </c>
      <c r="AD130" s="19">
        <f>BS!AO11</f>
        <v/>
      </c>
    </row>
    <row r="131">
      <c r="A131" s="5" t="inlineStr">
        <is>
          <t>out_bs_cca</t>
        </is>
      </c>
      <c r="B131" s="5" t="inlineStr">
        <is>
          <t>BS: Capitalised contract costs</t>
        </is>
      </c>
      <c r="C131" s="2" t="inlineStr">
        <is>
          <t>GBP k</t>
        </is>
      </c>
      <c r="D131" s="19">
        <f>BS!N12</f>
        <v/>
      </c>
      <c r="E131" s="19">
        <f>BS!O12</f>
        <v/>
      </c>
      <c r="F131" s="19">
        <f>BS!P12</f>
        <v/>
      </c>
      <c r="G131" s="19">
        <f>BS!Q12</f>
        <v/>
      </c>
      <c r="H131" s="19">
        <f>BS!R12</f>
        <v/>
      </c>
      <c r="I131" s="19">
        <f>BS!S12</f>
        <v/>
      </c>
      <c r="J131" s="19">
        <f>BS!T12</f>
        <v/>
      </c>
      <c r="K131" s="19">
        <f>BS!U12</f>
        <v/>
      </c>
      <c r="L131" s="19">
        <f>BS!V12</f>
        <v/>
      </c>
      <c r="M131" s="19">
        <f>BS!W12</f>
        <v/>
      </c>
      <c r="N131" s="19">
        <f>BS!X12</f>
        <v/>
      </c>
      <c r="O131" s="19">
        <f>BS!Y12</f>
        <v/>
      </c>
      <c r="P131" s="19">
        <f>BS!Z12</f>
        <v/>
      </c>
      <c r="Q131" s="19">
        <f>BS!AA12</f>
        <v/>
      </c>
      <c r="R131" s="19">
        <f>BS!AB12</f>
        <v/>
      </c>
      <c r="S131" s="19">
        <f>BS!AC12</f>
        <v/>
      </c>
      <c r="T131" s="19">
        <f>BS!AD12</f>
        <v/>
      </c>
      <c r="U131" s="19">
        <f>BS!AE12</f>
        <v/>
      </c>
      <c r="V131" s="19">
        <f>BS!AF12</f>
        <v/>
      </c>
      <c r="W131" s="19">
        <f>BS!AG12</f>
        <v/>
      </c>
      <c r="X131" s="19">
        <f>BS!AH12</f>
        <v/>
      </c>
      <c r="Y131" s="19">
        <f>BS!AI12</f>
        <v/>
      </c>
      <c r="Z131" s="19">
        <f>BS!AJ12</f>
        <v/>
      </c>
      <c r="AA131" s="19">
        <f>BS!AK12</f>
        <v/>
      </c>
      <c r="AB131" s="19">
        <f>BS!AL12</f>
        <v/>
      </c>
      <c r="AC131" s="19">
        <f>BS!AN12</f>
        <v/>
      </c>
      <c r="AD131" s="19">
        <f>BS!AO12</f>
        <v/>
      </c>
    </row>
    <row r="132">
      <c r="A132" s="5" t="inlineStr">
        <is>
          <t>out_bs_ta</t>
        </is>
      </c>
      <c r="B132" s="5" t="inlineStr">
        <is>
          <t>BS: Total assets</t>
        </is>
      </c>
      <c r="C132" s="2" t="inlineStr">
        <is>
          <t>GBP k</t>
        </is>
      </c>
      <c r="D132" s="19">
        <f>BS!N13</f>
        <v/>
      </c>
      <c r="E132" s="19">
        <f>BS!O13</f>
        <v/>
      </c>
      <c r="F132" s="19">
        <f>BS!P13</f>
        <v/>
      </c>
      <c r="G132" s="19">
        <f>BS!Q13</f>
        <v/>
      </c>
      <c r="H132" s="19">
        <f>BS!R13</f>
        <v/>
      </c>
      <c r="I132" s="19">
        <f>BS!S13</f>
        <v/>
      </c>
      <c r="J132" s="19">
        <f>BS!T13</f>
        <v/>
      </c>
      <c r="K132" s="19">
        <f>BS!U13</f>
        <v/>
      </c>
      <c r="L132" s="19">
        <f>BS!V13</f>
        <v/>
      </c>
      <c r="M132" s="19">
        <f>BS!W13</f>
        <v/>
      </c>
      <c r="N132" s="19">
        <f>BS!X13</f>
        <v/>
      </c>
      <c r="O132" s="19">
        <f>BS!Y13</f>
        <v/>
      </c>
      <c r="P132" s="19">
        <f>BS!Z13</f>
        <v/>
      </c>
      <c r="Q132" s="19">
        <f>BS!AA13</f>
        <v/>
      </c>
      <c r="R132" s="19">
        <f>BS!AB13</f>
        <v/>
      </c>
      <c r="S132" s="19">
        <f>BS!AC13</f>
        <v/>
      </c>
      <c r="T132" s="19">
        <f>BS!AD13</f>
        <v/>
      </c>
      <c r="U132" s="19">
        <f>BS!AE13</f>
        <v/>
      </c>
      <c r="V132" s="19">
        <f>BS!AF13</f>
        <v/>
      </c>
      <c r="W132" s="19">
        <f>BS!AG13</f>
        <v/>
      </c>
      <c r="X132" s="19">
        <f>BS!AH13</f>
        <v/>
      </c>
      <c r="Y132" s="19">
        <f>BS!AI13</f>
        <v/>
      </c>
      <c r="Z132" s="19">
        <f>BS!AJ13</f>
        <v/>
      </c>
      <c r="AA132" s="19">
        <f>BS!AK13</f>
        <v/>
      </c>
      <c r="AB132" s="19">
        <f>BS!AL13</f>
        <v/>
      </c>
      <c r="AC132" s="19">
        <f>BS!AN13</f>
        <v/>
      </c>
      <c r="AD132" s="19">
        <f>BS!AO13</f>
        <v/>
      </c>
    </row>
    <row r="133">
      <c r="A133" s="5" t="inlineStr">
        <is>
          <t>out_bs_ap</t>
        </is>
      </c>
      <c r="B133" s="5" t="inlineStr">
        <is>
          <t>BS: Trade payables</t>
        </is>
      </c>
      <c r="C133" s="2" t="inlineStr">
        <is>
          <t>GBP k</t>
        </is>
      </c>
      <c r="D133" s="19">
        <f>BS!N16</f>
        <v/>
      </c>
      <c r="E133" s="19">
        <f>BS!O16</f>
        <v/>
      </c>
      <c r="F133" s="19">
        <f>BS!P16</f>
        <v/>
      </c>
      <c r="G133" s="19">
        <f>BS!Q16</f>
        <v/>
      </c>
      <c r="H133" s="19">
        <f>BS!R16</f>
        <v/>
      </c>
      <c r="I133" s="19">
        <f>BS!S16</f>
        <v/>
      </c>
      <c r="J133" s="19">
        <f>BS!T16</f>
        <v/>
      </c>
      <c r="K133" s="19">
        <f>BS!U16</f>
        <v/>
      </c>
      <c r="L133" s="19">
        <f>BS!V16</f>
        <v/>
      </c>
      <c r="M133" s="19">
        <f>BS!W16</f>
        <v/>
      </c>
      <c r="N133" s="19">
        <f>BS!X16</f>
        <v/>
      </c>
      <c r="O133" s="19">
        <f>BS!Y16</f>
        <v/>
      </c>
      <c r="P133" s="19">
        <f>BS!Z16</f>
        <v/>
      </c>
      <c r="Q133" s="19">
        <f>BS!AA16</f>
        <v/>
      </c>
      <c r="R133" s="19">
        <f>BS!AB16</f>
        <v/>
      </c>
      <c r="S133" s="19">
        <f>BS!AC16</f>
        <v/>
      </c>
      <c r="T133" s="19">
        <f>BS!AD16</f>
        <v/>
      </c>
      <c r="U133" s="19">
        <f>BS!AE16</f>
        <v/>
      </c>
      <c r="V133" s="19">
        <f>BS!AF16</f>
        <v/>
      </c>
      <c r="W133" s="19">
        <f>BS!AG16</f>
        <v/>
      </c>
      <c r="X133" s="19">
        <f>BS!AH16</f>
        <v/>
      </c>
      <c r="Y133" s="19">
        <f>BS!AI16</f>
        <v/>
      </c>
      <c r="Z133" s="19">
        <f>BS!AJ16</f>
        <v/>
      </c>
      <c r="AA133" s="19">
        <f>BS!AK16</f>
        <v/>
      </c>
      <c r="AB133" s="19">
        <f>BS!AL16</f>
        <v/>
      </c>
      <c r="AC133" s="19">
        <f>BS!AN16</f>
        <v/>
      </c>
      <c r="AD133" s="19">
        <f>BS!AO16</f>
        <v/>
      </c>
    </row>
    <row r="134">
      <c r="A134" s="5" t="inlineStr">
        <is>
          <t>out_bs_defrev</t>
        </is>
      </c>
      <c r="B134" s="5" t="inlineStr">
        <is>
          <t>BS: Deferred revenue</t>
        </is>
      </c>
      <c r="C134" s="2" t="inlineStr">
        <is>
          <t>GBP k</t>
        </is>
      </c>
      <c r="D134" s="19">
        <f>BS!N17</f>
        <v/>
      </c>
      <c r="E134" s="19">
        <f>BS!O17</f>
        <v/>
      </c>
      <c r="F134" s="19">
        <f>BS!P17</f>
        <v/>
      </c>
      <c r="G134" s="19">
        <f>BS!Q17</f>
        <v/>
      </c>
      <c r="H134" s="19">
        <f>BS!R17</f>
        <v/>
      </c>
      <c r="I134" s="19">
        <f>BS!S17</f>
        <v/>
      </c>
      <c r="J134" s="19">
        <f>BS!T17</f>
        <v/>
      </c>
      <c r="K134" s="19">
        <f>BS!U17</f>
        <v/>
      </c>
      <c r="L134" s="19">
        <f>BS!V17</f>
        <v/>
      </c>
      <c r="M134" s="19">
        <f>BS!W17</f>
        <v/>
      </c>
      <c r="N134" s="19">
        <f>BS!X17</f>
        <v/>
      </c>
      <c r="O134" s="19">
        <f>BS!Y17</f>
        <v/>
      </c>
      <c r="P134" s="19">
        <f>BS!Z17</f>
        <v/>
      </c>
      <c r="Q134" s="19">
        <f>BS!AA17</f>
        <v/>
      </c>
      <c r="R134" s="19">
        <f>BS!AB17</f>
        <v/>
      </c>
      <c r="S134" s="19">
        <f>BS!AC17</f>
        <v/>
      </c>
      <c r="T134" s="19">
        <f>BS!AD17</f>
        <v/>
      </c>
      <c r="U134" s="19">
        <f>BS!AE17</f>
        <v/>
      </c>
      <c r="V134" s="19">
        <f>BS!AF17</f>
        <v/>
      </c>
      <c r="W134" s="19">
        <f>BS!AG17</f>
        <v/>
      </c>
      <c r="X134" s="19">
        <f>BS!AH17</f>
        <v/>
      </c>
      <c r="Y134" s="19">
        <f>BS!AI17</f>
        <v/>
      </c>
      <c r="Z134" s="19">
        <f>BS!AJ17</f>
        <v/>
      </c>
      <c r="AA134" s="19">
        <f>BS!AK17</f>
        <v/>
      </c>
      <c r="AB134" s="19">
        <f>BS!AL17</f>
        <v/>
      </c>
      <c r="AC134" s="19">
        <f>BS!AN17</f>
        <v/>
      </c>
      <c r="AD134" s="19">
        <f>BS!AO17</f>
        <v/>
      </c>
    </row>
    <row r="135">
      <c r="A135" s="5" t="inlineStr">
        <is>
          <t>out_bs_tl</t>
        </is>
      </c>
      <c r="B135" s="5" t="inlineStr">
        <is>
          <t>BS: Total liabilities</t>
        </is>
      </c>
      <c r="C135" s="2" t="inlineStr">
        <is>
          <t>GBP k</t>
        </is>
      </c>
      <c r="D135" s="19">
        <f>BS!N18</f>
        <v/>
      </c>
      <c r="E135" s="19">
        <f>BS!O18</f>
        <v/>
      </c>
      <c r="F135" s="19">
        <f>BS!P18</f>
        <v/>
      </c>
      <c r="G135" s="19">
        <f>BS!Q18</f>
        <v/>
      </c>
      <c r="H135" s="19">
        <f>BS!R18</f>
        <v/>
      </c>
      <c r="I135" s="19">
        <f>BS!S18</f>
        <v/>
      </c>
      <c r="J135" s="19">
        <f>BS!T18</f>
        <v/>
      </c>
      <c r="K135" s="19">
        <f>BS!U18</f>
        <v/>
      </c>
      <c r="L135" s="19">
        <f>BS!V18</f>
        <v/>
      </c>
      <c r="M135" s="19">
        <f>BS!W18</f>
        <v/>
      </c>
      <c r="N135" s="19">
        <f>BS!X18</f>
        <v/>
      </c>
      <c r="O135" s="19">
        <f>BS!Y18</f>
        <v/>
      </c>
      <c r="P135" s="19">
        <f>BS!Z18</f>
        <v/>
      </c>
      <c r="Q135" s="19">
        <f>BS!AA18</f>
        <v/>
      </c>
      <c r="R135" s="19">
        <f>BS!AB18</f>
        <v/>
      </c>
      <c r="S135" s="19">
        <f>BS!AC18</f>
        <v/>
      </c>
      <c r="T135" s="19">
        <f>BS!AD18</f>
        <v/>
      </c>
      <c r="U135" s="19">
        <f>BS!AE18</f>
        <v/>
      </c>
      <c r="V135" s="19">
        <f>BS!AF18</f>
        <v/>
      </c>
      <c r="W135" s="19">
        <f>BS!AG18</f>
        <v/>
      </c>
      <c r="X135" s="19">
        <f>BS!AH18</f>
        <v/>
      </c>
      <c r="Y135" s="19">
        <f>BS!AI18</f>
        <v/>
      </c>
      <c r="Z135" s="19">
        <f>BS!AJ18</f>
        <v/>
      </c>
      <c r="AA135" s="19">
        <f>BS!AK18</f>
        <v/>
      </c>
      <c r="AB135" s="19">
        <f>BS!AL18</f>
        <v/>
      </c>
      <c r="AC135" s="19">
        <f>BS!AN18</f>
        <v/>
      </c>
      <c r="AD135" s="19">
        <f>BS!AO18</f>
        <v/>
      </c>
    </row>
    <row r="136">
      <c r="A136" s="5" t="inlineStr">
        <is>
          <t>out_bs_equity</t>
        </is>
      </c>
      <c r="B136" s="5" t="inlineStr">
        <is>
          <t>BS: Total equity (opening net assets + cumulative net income)</t>
        </is>
      </c>
      <c r="C136" s="2" t="inlineStr">
        <is>
          <t>GBP k</t>
        </is>
      </c>
      <c r="D136" s="19">
        <f>BS!N21</f>
        <v/>
      </c>
      <c r="E136" s="19">
        <f>BS!O21</f>
        <v/>
      </c>
      <c r="F136" s="19">
        <f>BS!P21</f>
        <v/>
      </c>
      <c r="G136" s="19">
        <f>BS!Q21</f>
        <v/>
      </c>
      <c r="H136" s="19">
        <f>BS!R21</f>
        <v/>
      </c>
      <c r="I136" s="19">
        <f>BS!S21</f>
        <v/>
      </c>
      <c r="J136" s="19">
        <f>BS!T21</f>
        <v/>
      </c>
      <c r="K136" s="19">
        <f>BS!U21</f>
        <v/>
      </c>
      <c r="L136" s="19">
        <f>BS!V21</f>
        <v/>
      </c>
      <c r="M136" s="19">
        <f>BS!W21</f>
        <v/>
      </c>
      <c r="N136" s="19">
        <f>BS!X21</f>
        <v/>
      </c>
      <c r="O136" s="19">
        <f>BS!Y21</f>
        <v/>
      </c>
      <c r="P136" s="19">
        <f>BS!Z21</f>
        <v/>
      </c>
      <c r="Q136" s="19">
        <f>BS!AA21</f>
        <v/>
      </c>
      <c r="R136" s="19">
        <f>BS!AB21</f>
        <v/>
      </c>
      <c r="S136" s="19">
        <f>BS!AC21</f>
        <v/>
      </c>
      <c r="T136" s="19">
        <f>BS!AD21</f>
        <v/>
      </c>
      <c r="U136" s="19">
        <f>BS!AE21</f>
        <v/>
      </c>
      <c r="V136" s="19">
        <f>BS!AF21</f>
        <v/>
      </c>
      <c r="W136" s="19">
        <f>BS!AG21</f>
        <v/>
      </c>
      <c r="X136" s="19">
        <f>BS!AH21</f>
        <v/>
      </c>
      <c r="Y136" s="19">
        <f>BS!AI21</f>
        <v/>
      </c>
      <c r="Z136" s="19">
        <f>BS!AJ21</f>
        <v/>
      </c>
      <c r="AA136" s="19">
        <f>BS!AK21</f>
        <v/>
      </c>
      <c r="AB136" s="19">
        <f>BS!AL21</f>
        <v/>
      </c>
      <c r="AC136" s="19">
        <f>BS!AN21</f>
        <v/>
      </c>
      <c r="AD136" s="19">
        <f>BS!AO21</f>
        <v/>
      </c>
    </row>
    <row r="137">
      <c r="A137" s="5" t="inlineStr">
        <is>
          <t>out_bs_check</t>
        </is>
      </c>
      <c r="B137" s="5" t="inlineStr">
        <is>
          <t>BS: Balance check (assets - liabilities - equity)</t>
        </is>
      </c>
      <c r="C137" s="2" t="inlineStr">
        <is>
          <t>GBP k</t>
        </is>
      </c>
      <c r="D137" s="76">
        <f>BS!N23</f>
        <v/>
      </c>
      <c r="E137" s="76">
        <f>BS!O23</f>
        <v/>
      </c>
      <c r="F137" s="76">
        <f>BS!P23</f>
        <v/>
      </c>
      <c r="G137" s="76">
        <f>BS!Q23</f>
        <v/>
      </c>
      <c r="H137" s="76">
        <f>BS!R23</f>
        <v/>
      </c>
      <c r="I137" s="76">
        <f>BS!S23</f>
        <v/>
      </c>
      <c r="J137" s="76">
        <f>BS!T23</f>
        <v/>
      </c>
      <c r="K137" s="76">
        <f>BS!U23</f>
        <v/>
      </c>
      <c r="L137" s="76">
        <f>BS!V23</f>
        <v/>
      </c>
      <c r="M137" s="76">
        <f>BS!W23</f>
        <v/>
      </c>
      <c r="N137" s="76">
        <f>BS!X23</f>
        <v/>
      </c>
      <c r="O137" s="76">
        <f>BS!Y23</f>
        <v/>
      </c>
      <c r="P137" s="76">
        <f>BS!Z23</f>
        <v/>
      </c>
      <c r="Q137" s="76">
        <f>BS!AA23</f>
        <v/>
      </c>
      <c r="R137" s="76">
        <f>BS!AB23</f>
        <v/>
      </c>
      <c r="S137" s="76">
        <f>BS!AC23</f>
        <v/>
      </c>
      <c r="T137" s="76">
        <f>BS!AD23</f>
        <v/>
      </c>
      <c r="U137" s="76">
        <f>BS!AE23</f>
        <v/>
      </c>
      <c r="V137" s="76">
        <f>BS!AF23</f>
        <v/>
      </c>
      <c r="W137" s="76">
        <f>BS!AG23</f>
        <v/>
      </c>
      <c r="X137" s="76">
        <f>BS!AH23</f>
        <v/>
      </c>
      <c r="Y137" s="76">
        <f>BS!AI23</f>
        <v/>
      </c>
      <c r="Z137" s="76">
        <f>BS!AJ23</f>
        <v/>
      </c>
      <c r="AA137" s="76">
        <f>BS!AK23</f>
        <v/>
      </c>
      <c r="AB137" s="76">
        <f>BS!AL23</f>
        <v/>
      </c>
      <c r="AC137" s="76">
        <f>BS!AN23</f>
        <v/>
      </c>
      <c r="AD137" s="76">
        <f>BS!AO23</f>
        <v/>
      </c>
    </row>
    <row r="138">
      <c r="A138" s="5" t="inlineStr">
        <is>
          <t>out_cf_ni</t>
        </is>
      </c>
      <c r="B138" s="5" t="inlineStr">
        <is>
          <t>CF: Net income</t>
        </is>
      </c>
      <c r="C138" s="2" t="inlineStr">
        <is>
          <t>GBP k</t>
        </is>
      </c>
      <c r="E138" s="19">
        <f>CF!O9</f>
        <v/>
      </c>
      <c r="F138" s="19">
        <f>CF!P9</f>
        <v/>
      </c>
      <c r="G138" s="19">
        <f>CF!Q9</f>
        <v/>
      </c>
      <c r="H138" s="19">
        <f>CF!R9</f>
        <v/>
      </c>
      <c r="I138" s="19">
        <f>CF!S9</f>
        <v/>
      </c>
      <c r="J138" s="19">
        <f>CF!T9</f>
        <v/>
      </c>
      <c r="K138" s="19">
        <f>CF!U9</f>
        <v/>
      </c>
      <c r="L138" s="19">
        <f>CF!V9</f>
        <v/>
      </c>
      <c r="M138" s="19">
        <f>CF!W9</f>
        <v/>
      </c>
      <c r="N138" s="19">
        <f>CF!X9</f>
        <v/>
      </c>
      <c r="O138" s="19">
        <f>CF!Y9</f>
        <v/>
      </c>
      <c r="P138" s="19">
        <f>CF!Z9</f>
        <v/>
      </c>
      <c r="Q138" s="19">
        <f>CF!AA9</f>
        <v/>
      </c>
      <c r="R138" s="19">
        <f>CF!AB9</f>
        <v/>
      </c>
      <c r="S138" s="19">
        <f>CF!AC9</f>
        <v/>
      </c>
      <c r="T138" s="19">
        <f>CF!AD9</f>
        <v/>
      </c>
      <c r="U138" s="19">
        <f>CF!AE9</f>
        <v/>
      </c>
      <c r="V138" s="19">
        <f>CF!AF9</f>
        <v/>
      </c>
      <c r="W138" s="19">
        <f>CF!AG9</f>
        <v/>
      </c>
      <c r="X138" s="19">
        <f>CF!AH9</f>
        <v/>
      </c>
      <c r="Y138" s="19">
        <f>CF!AI9</f>
        <v/>
      </c>
      <c r="Z138" s="19">
        <f>CF!AJ9</f>
        <v/>
      </c>
      <c r="AA138" s="19">
        <f>CF!AK9</f>
        <v/>
      </c>
      <c r="AB138" s="19">
        <f>CF!AL9</f>
        <v/>
      </c>
      <c r="AC138" s="19">
        <f>CF!AN9</f>
        <v/>
      </c>
      <c r="AD138" s="19">
        <f>CF!AO9</f>
        <v/>
      </c>
    </row>
    <row r="139">
      <c r="A139" s="5" t="inlineStr">
        <is>
          <t>out_cf_da</t>
        </is>
      </c>
      <c r="B139" s="5" t="inlineStr">
        <is>
          <t>CF: + Depreciation</t>
        </is>
      </c>
      <c r="C139" s="2" t="inlineStr">
        <is>
          <t>GBP k</t>
        </is>
      </c>
      <c r="E139" s="19">
        <f>CF!O10</f>
        <v/>
      </c>
      <c r="F139" s="19">
        <f>CF!P10</f>
        <v/>
      </c>
      <c r="G139" s="19">
        <f>CF!Q10</f>
        <v/>
      </c>
      <c r="H139" s="19">
        <f>CF!R10</f>
        <v/>
      </c>
      <c r="I139" s="19">
        <f>CF!S10</f>
        <v/>
      </c>
      <c r="J139" s="19">
        <f>CF!T10</f>
        <v/>
      </c>
      <c r="K139" s="19">
        <f>CF!U10</f>
        <v/>
      </c>
      <c r="L139" s="19">
        <f>CF!V10</f>
        <v/>
      </c>
      <c r="M139" s="19">
        <f>CF!W10</f>
        <v/>
      </c>
      <c r="N139" s="19">
        <f>CF!X10</f>
        <v/>
      </c>
      <c r="O139" s="19">
        <f>CF!Y10</f>
        <v/>
      </c>
      <c r="P139" s="19">
        <f>CF!Z10</f>
        <v/>
      </c>
      <c r="Q139" s="19">
        <f>CF!AA10</f>
        <v/>
      </c>
      <c r="R139" s="19">
        <f>CF!AB10</f>
        <v/>
      </c>
      <c r="S139" s="19">
        <f>CF!AC10</f>
        <v/>
      </c>
      <c r="T139" s="19">
        <f>CF!AD10</f>
        <v/>
      </c>
      <c r="U139" s="19">
        <f>CF!AE10</f>
        <v/>
      </c>
      <c r="V139" s="19">
        <f>CF!AF10</f>
        <v/>
      </c>
      <c r="W139" s="19">
        <f>CF!AG10</f>
        <v/>
      </c>
      <c r="X139" s="19">
        <f>CF!AH10</f>
        <v/>
      </c>
      <c r="Y139" s="19">
        <f>CF!AI10</f>
        <v/>
      </c>
      <c r="Z139" s="19">
        <f>CF!AJ10</f>
        <v/>
      </c>
      <c r="AA139" s="19">
        <f>CF!AK10</f>
        <v/>
      </c>
      <c r="AB139" s="19">
        <f>CF!AL10</f>
        <v/>
      </c>
      <c r="AC139" s="19">
        <f>CF!AN10</f>
        <v/>
      </c>
      <c r="AD139" s="19">
        <f>CF!AO10</f>
        <v/>
      </c>
    </row>
    <row r="140">
      <c r="A140" s="5" t="inlineStr">
        <is>
          <t>out_cf_d_ar</t>
        </is>
      </c>
      <c r="B140" s="5" t="inlineStr">
        <is>
          <t>CF: (Increase) / decrease in receivables</t>
        </is>
      </c>
      <c r="C140" s="2" t="inlineStr">
        <is>
          <t>GBP k</t>
        </is>
      </c>
      <c r="E140" s="19">
        <f>CF!O11</f>
        <v/>
      </c>
      <c r="F140" s="19">
        <f>CF!P11</f>
        <v/>
      </c>
      <c r="G140" s="19">
        <f>CF!Q11</f>
        <v/>
      </c>
      <c r="H140" s="19">
        <f>CF!R11</f>
        <v/>
      </c>
      <c r="I140" s="19">
        <f>CF!S11</f>
        <v/>
      </c>
      <c r="J140" s="19">
        <f>CF!T11</f>
        <v/>
      </c>
      <c r="K140" s="19">
        <f>CF!U11</f>
        <v/>
      </c>
      <c r="L140" s="19">
        <f>CF!V11</f>
        <v/>
      </c>
      <c r="M140" s="19">
        <f>CF!W11</f>
        <v/>
      </c>
      <c r="N140" s="19">
        <f>CF!X11</f>
        <v/>
      </c>
      <c r="O140" s="19">
        <f>CF!Y11</f>
        <v/>
      </c>
      <c r="P140" s="19">
        <f>CF!Z11</f>
        <v/>
      </c>
      <c r="Q140" s="19">
        <f>CF!AA11</f>
        <v/>
      </c>
      <c r="R140" s="19">
        <f>CF!AB11</f>
        <v/>
      </c>
      <c r="S140" s="19">
        <f>CF!AC11</f>
        <v/>
      </c>
      <c r="T140" s="19">
        <f>CF!AD11</f>
        <v/>
      </c>
      <c r="U140" s="19">
        <f>CF!AE11</f>
        <v/>
      </c>
      <c r="V140" s="19">
        <f>CF!AF11</f>
        <v/>
      </c>
      <c r="W140" s="19">
        <f>CF!AG11</f>
        <v/>
      </c>
      <c r="X140" s="19">
        <f>CF!AH11</f>
        <v/>
      </c>
      <c r="Y140" s="19">
        <f>CF!AI11</f>
        <v/>
      </c>
      <c r="Z140" s="19">
        <f>CF!AJ11</f>
        <v/>
      </c>
      <c r="AA140" s="19">
        <f>CF!AK11</f>
        <v/>
      </c>
      <c r="AB140" s="19">
        <f>CF!AL11</f>
        <v/>
      </c>
      <c r="AC140" s="19">
        <f>CF!AN11</f>
        <v/>
      </c>
      <c r="AD140" s="19">
        <f>CF!AO11</f>
        <v/>
      </c>
    </row>
    <row r="141">
      <c r="A141" s="5" t="inlineStr">
        <is>
          <t>out_cf_d_ap</t>
        </is>
      </c>
      <c r="B141" s="5" t="inlineStr">
        <is>
          <t>CF: Increase / (decrease) in payables</t>
        </is>
      </c>
      <c r="C141" s="2" t="inlineStr">
        <is>
          <t>GBP k</t>
        </is>
      </c>
      <c r="E141" s="19">
        <f>CF!O12</f>
        <v/>
      </c>
      <c r="F141" s="19">
        <f>CF!P12</f>
        <v/>
      </c>
      <c r="G141" s="19">
        <f>CF!Q12</f>
        <v/>
      </c>
      <c r="H141" s="19">
        <f>CF!R12</f>
        <v/>
      </c>
      <c r="I141" s="19">
        <f>CF!S12</f>
        <v/>
      </c>
      <c r="J141" s="19">
        <f>CF!T12</f>
        <v/>
      </c>
      <c r="K141" s="19">
        <f>CF!U12</f>
        <v/>
      </c>
      <c r="L141" s="19">
        <f>CF!V12</f>
        <v/>
      </c>
      <c r="M141" s="19">
        <f>CF!W12</f>
        <v/>
      </c>
      <c r="N141" s="19">
        <f>CF!X12</f>
        <v/>
      </c>
      <c r="O141" s="19">
        <f>CF!Y12</f>
        <v/>
      </c>
      <c r="P141" s="19">
        <f>CF!Z12</f>
        <v/>
      </c>
      <c r="Q141" s="19">
        <f>CF!AA12</f>
        <v/>
      </c>
      <c r="R141" s="19">
        <f>CF!AB12</f>
        <v/>
      </c>
      <c r="S141" s="19">
        <f>CF!AC12</f>
        <v/>
      </c>
      <c r="T141" s="19">
        <f>CF!AD12</f>
        <v/>
      </c>
      <c r="U141" s="19">
        <f>CF!AE12</f>
        <v/>
      </c>
      <c r="V141" s="19">
        <f>CF!AF12</f>
        <v/>
      </c>
      <c r="W141" s="19">
        <f>CF!AG12</f>
        <v/>
      </c>
      <c r="X141" s="19">
        <f>CF!AH12</f>
        <v/>
      </c>
      <c r="Y141" s="19">
        <f>CF!AI12</f>
        <v/>
      </c>
      <c r="Z141" s="19">
        <f>CF!AJ12</f>
        <v/>
      </c>
      <c r="AA141" s="19">
        <f>CF!AK12</f>
        <v/>
      </c>
      <c r="AB141" s="19">
        <f>CF!AL12</f>
        <v/>
      </c>
      <c r="AC141" s="19">
        <f>CF!AN12</f>
        <v/>
      </c>
      <c r="AD141" s="19">
        <f>CF!AO12</f>
        <v/>
      </c>
    </row>
    <row r="142">
      <c r="A142" s="5" t="inlineStr">
        <is>
          <t>out_cf_d_def</t>
        </is>
      </c>
      <c r="B142" s="5" t="inlineStr">
        <is>
          <t>CF: Increase / (decrease) in deferred revenue</t>
        </is>
      </c>
      <c r="C142" s="2" t="inlineStr">
        <is>
          <t>GBP k</t>
        </is>
      </c>
      <c r="E142" s="19">
        <f>CF!O13</f>
        <v/>
      </c>
      <c r="F142" s="19">
        <f>CF!P13</f>
        <v/>
      </c>
      <c r="G142" s="19">
        <f>CF!Q13</f>
        <v/>
      </c>
      <c r="H142" s="19">
        <f>CF!R13</f>
        <v/>
      </c>
      <c r="I142" s="19">
        <f>CF!S13</f>
        <v/>
      </c>
      <c r="J142" s="19">
        <f>CF!T13</f>
        <v/>
      </c>
      <c r="K142" s="19">
        <f>CF!U13</f>
        <v/>
      </c>
      <c r="L142" s="19">
        <f>CF!V13</f>
        <v/>
      </c>
      <c r="M142" s="19">
        <f>CF!W13</f>
        <v/>
      </c>
      <c r="N142" s="19">
        <f>CF!X13</f>
        <v/>
      </c>
      <c r="O142" s="19">
        <f>CF!Y13</f>
        <v/>
      </c>
      <c r="P142" s="19">
        <f>CF!Z13</f>
        <v/>
      </c>
      <c r="Q142" s="19">
        <f>CF!AA13</f>
        <v/>
      </c>
      <c r="R142" s="19">
        <f>CF!AB13</f>
        <v/>
      </c>
      <c r="S142" s="19">
        <f>CF!AC13</f>
        <v/>
      </c>
      <c r="T142" s="19">
        <f>CF!AD13</f>
        <v/>
      </c>
      <c r="U142" s="19">
        <f>CF!AE13</f>
        <v/>
      </c>
      <c r="V142" s="19">
        <f>CF!AF13</f>
        <v/>
      </c>
      <c r="W142" s="19">
        <f>CF!AG13</f>
        <v/>
      </c>
      <c r="X142" s="19">
        <f>CF!AH13</f>
        <v/>
      </c>
      <c r="Y142" s="19">
        <f>CF!AI13</f>
        <v/>
      </c>
      <c r="Z142" s="19">
        <f>CF!AJ13</f>
        <v/>
      </c>
      <c r="AA142" s="19">
        <f>CF!AK13</f>
        <v/>
      </c>
      <c r="AB142" s="19">
        <f>CF!AL13</f>
        <v/>
      </c>
      <c r="AC142" s="19">
        <f>CF!AN13</f>
        <v/>
      </c>
      <c r="AD142" s="19">
        <f>CF!AO13</f>
        <v/>
      </c>
    </row>
    <row r="143">
      <c r="A143" s="5" t="inlineStr">
        <is>
          <t>out_cf_d_cca</t>
        </is>
      </c>
      <c r="B143" s="5" t="inlineStr">
        <is>
          <t>CF: (Increase) / decrease in capitalised contract costs</t>
        </is>
      </c>
      <c r="C143" s="2" t="inlineStr">
        <is>
          <t>GBP k</t>
        </is>
      </c>
      <c r="E143" s="19">
        <f>CF!O14</f>
        <v/>
      </c>
      <c r="F143" s="19">
        <f>CF!P14</f>
        <v/>
      </c>
      <c r="G143" s="19">
        <f>CF!Q14</f>
        <v/>
      </c>
      <c r="H143" s="19">
        <f>CF!R14</f>
        <v/>
      </c>
      <c r="I143" s="19">
        <f>CF!S14</f>
        <v/>
      </c>
      <c r="J143" s="19">
        <f>CF!T14</f>
        <v/>
      </c>
      <c r="K143" s="19">
        <f>CF!U14</f>
        <v/>
      </c>
      <c r="L143" s="19">
        <f>CF!V14</f>
        <v/>
      </c>
      <c r="M143" s="19">
        <f>CF!W14</f>
        <v/>
      </c>
      <c r="N143" s="19">
        <f>CF!X14</f>
        <v/>
      </c>
      <c r="O143" s="19">
        <f>CF!Y14</f>
        <v/>
      </c>
      <c r="P143" s="19">
        <f>CF!Z14</f>
        <v/>
      </c>
      <c r="Q143" s="19">
        <f>CF!AA14</f>
        <v/>
      </c>
      <c r="R143" s="19">
        <f>CF!AB14</f>
        <v/>
      </c>
      <c r="S143" s="19">
        <f>CF!AC14</f>
        <v/>
      </c>
      <c r="T143" s="19">
        <f>CF!AD14</f>
        <v/>
      </c>
      <c r="U143" s="19">
        <f>CF!AE14</f>
        <v/>
      </c>
      <c r="V143" s="19">
        <f>CF!AF14</f>
        <v/>
      </c>
      <c r="W143" s="19">
        <f>CF!AG14</f>
        <v/>
      </c>
      <c r="X143" s="19">
        <f>CF!AH14</f>
        <v/>
      </c>
      <c r="Y143" s="19">
        <f>CF!AI14</f>
        <v/>
      </c>
      <c r="Z143" s="19">
        <f>CF!AJ14</f>
        <v/>
      </c>
      <c r="AA143" s="19">
        <f>CF!AK14</f>
        <v/>
      </c>
      <c r="AB143" s="19">
        <f>CF!AL14</f>
        <v/>
      </c>
      <c r="AC143" s="19">
        <f>CF!AN14</f>
        <v/>
      </c>
      <c r="AD143" s="19">
        <f>CF!AO14</f>
        <v/>
      </c>
    </row>
    <row r="144">
      <c r="A144" s="5" t="inlineStr">
        <is>
          <t>out_cf_cfo</t>
        </is>
      </c>
      <c r="B144" s="5" t="inlineStr">
        <is>
          <t>CF: Cash flow from operations</t>
        </is>
      </c>
      <c r="C144" s="2" t="inlineStr">
        <is>
          <t>GBP k</t>
        </is>
      </c>
      <c r="E144" s="19">
        <f>CF!O15</f>
        <v/>
      </c>
      <c r="F144" s="19">
        <f>CF!P15</f>
        <v/>
      </c>
      <c r="G144" s="19">
        <f>CF!Q15</f>
        <v/>
      </c>
      <c r="H144" s="19">
        <f>CF!R15</f>
        <v/>
      </c>
      <c r="I144" s="19">
        <f>CF!S15</f>
        <v/>
      </c>
      <c r="J144" s="19">
        <f>CF!T15</f>
        <v/>
      </c>
      <c r="K144" s="19">
        <f>CF!U15</f>
        <v/>
      </c>
      <c r="L144" s="19">
        <f>CF!V15</f>
        <v/>
      </c>
      <c r="M144" s="19">
        <f>CF!W15</f>
        <v/>
      </c>
      <c r="N144" s="19">
        <f>CF!X15</f>
        <v/>
      </c>
      <c r="O144" s="19">
        <f>CF!Y15</f>
        <v/>
      </c>
      <c r="P144" s="19">
        <f>CF!Z15</f>
        <v/>
      </c>
      <c r="Q144" s="19">
        <f>CF!AA15</f>
        <v/>
      </c>
      <c r="R144" s="19">
        <f>CF!AB15</f>
        <v/>
      </c>
      <c r="S144" s="19">
        <f>CF!AC15</f>
        <v/>
      </c>
      <c r="T144" s="19">
        <f>CF!AD15</f>
        <v/>
      </c>
      <c r="U144" s="19">
        <f>CF!AE15</f>
        <v/>
      </c>
      <c r="V144" s="19">
        <f>CF!AF15</f>
        <v/>
      </c>
      <c r="W144" s="19">
        <f>CF!AG15</f>
        <v/>
      </c>
      <c r="X144" s="19">
        <f>CF!AH15</f>
        <v/>
      </c>
      <c r="Y144" s="19">
        <f>CF!AI15</f>
        <v/>
      </c>
      <c r="Z144" s="19">
        <f>CF!AJ15</f>
        <v/>
      </c>
      <c r="AA144" s="19">
        <f>CF!AK15</f>
        <v/>
      </c>
      <c r="AB144" s="19">
        <f>CF!AL15</f>
        <v/>
      </c>
      <c r="AC144" s="19">
        <f>CF!AN15</f>
        <v/>
      </c>
      <c r="AD144" s="19">
        <f>CF!AO15</f>
        <v/>
      </c>
    </row>
    <row r="145">
      <c r="A145" s="5" t="inlineStr">
        <is>
          <t>out_cf_capex</t>
        </is>
      </c>
      <c r="B145" s="5" t="inlineStr">
        <is>
          <t>CF: Capex</t>
        </is>
      </c>
      <c r="C145" s="2" t="inlineStr">
        <is>
          <t>GBP k</t>
        </is>
      </c>
      <c r="E145" s="19">
        <f>CF!O18</f>
        <v/>
      </c>
      <c r="F145" s="19">
        <f>CF!P18</f>
        <v/>
      </c>
      <c r="G145" s="19">
        <f>CF!Q18</f>
        <v/>
      </c>
      <c r="H145" s="19">
        <f>CF!R18</f>
        <v/>
      </c>
      <c r="I145" s="19">
        <f>CF!S18</f>
        <v/>
      </c>
      <c r="J145" s="19">
        <f>CF!T18</f>
        <v/>
      </c>
      <c r="K145" s="19">
        <f>CF!U18</f>
        <v/>
      </c>
      <c r="L145" s="19">
        <f>CF!V18</f>
        <v/>
      </c>
      <c r="M145" s="19">
        <f>CF!W18</f>
        <v/>
      </c>
      <c r="N145" s="19">
        <f>CF!X18</f>
        <v/>
      </c>
      <c r="O145" s="19">
        <f>CF!Y18</f>
        <v/>
      </c>
      <c r="P145" s="19">
        <f>CF!Z18</f>
        <v/>
      </c>
      <c r="Q145" s="19">
        <f>CF!AA18</f>
        <v/>
      </c>
      <c r="R145" s="19">
        <f>CF!AB18</f>
        <v/>
      </c>
      <c r="S145" s="19">
        <f>CF!AC18</f>
        <v/>
      </c>
      <c r="T145" s="19">
        <f>CF!AD18</f>
        <v/>
      </c>
      <c r="U145" s="19">
        <f>CF!AE18</f>
        <v/>
      </c>
      <c r="V145" s="19">
        <f>CF!AF18</f>
        <v/>
      </c>
      <c r="W145" s="19">
        <f>CF!AG18</f>
        <v/>
      </c>
      <c r="X145" s="19">
        <f>CF!AH18</f>
        <v/>
      </c>
      <c r="Y145" s="19">
        <f>CF!AI18</f>
        <v/>
      </c>
      <c r="Z145" s="19">
        <f>CF!AJ18</f>
        <v/>
      </c>
      <c r="AA145" s="19">
        <f>CF!AK18</f>
        <v/>
      </c>
      <c r="AB145" s="19">
        <f>CF!AL18</f>
        <v/>
      </c>
      <c r="AC145" s="19">
        <f>CF!AN18</f>
        <v/>
      </c>
      <c r="AD145" s="19">
        <f>CF!AO18</f>
        <v/>
      </c>
    </row>
    <row r="146">
      <c r="A146" s="5" t="inlineStr">
        <is>
          <t>out_cf_cfi</t>
        </is>
      </c>
      <c r="B146" s="5" t="inlineStr">
        <is>
          <t>CF: Cash flow from investing</t>
        </is>
      </c>
      <c r="C146" s="2" t="inlineStr">
        <is>
          <t>GBP k</t>
        </is>
      </c>
      <c r="E146" s="19">
        <f>CF!O19</f>
        <v/>
      </c>
      <c r="F146" s="19">
        <f>CF!P19</f>
        <v/>
      </c>
      <c r="G146" s="19">
        <f>CF!Q19</f>
        <v/>
      </c>
      <c r="H146" s="19">
        <f>CF!R19</f>
        <v/>
      </c>
      <c r="I146" s="19">
        <f>CF!S19</f>
        <v/>
      </c>
      <c r="J146" s="19">
        <f>CF!T19</f>
        <v/>
      </c>
      <c r="K146" s="19">
        <f>CF!U19</f>
        <v/>
      </c>
      <c r="L146" s="19">
        <f>CF!V19</f>
        <v/>
      </c>
      <c r="M146" s="19">
        <f>CF!W19</f>
        <v/>
      </c>
      <c r="N146" s="19">
        <f>CF!X19</f>
        <v/>
      </c>
      <c r="O146" s="19">
        <f>CF!Y19</f>
        <v/>
      </c>
      <c r="P146" s="19">
        <f>CF!Z19</f>
        <v/>
      </c>
      <c r="Q146" s="19">
        <f>CF!AA19</f>
        <v/>
      </c>
      <c r="R146" s="19">
        <f>CF!AB19</f>
        <v/>
      </c>
      <c r="S146" s="19">
        <f>CF!AC19</f>
        <v/>
      </c>
      <c r="T146" s="19">
        <f>CF!AD19</f>
        <v/>
      </c>
      <c r="U146" s="19">
        <f>CF!AE19</f>
        <v/>
      </c>
      <c r="V146" s="19">
        <f>CF!AF19</f>
        <v/>
      </c>
      <c r="W146" s="19">
        <f>CF!AG19</f>
        <v/>
      </c>
      <c r="X146" s="19">
        <f>CF!AH19</f>
        <v/>
      </c>
      <c r="Y146" s="19">
        <f>CF!AI19</f>
        <v/>
      </c>
      <c r="Z146" s="19">
        <f>CF!AJ19</f>
        <v/>
      </c>
      <c r="AA146" s="19">
        <f>CF!AK19</f>
        <v/>
      </c>
      <c r="AB146" s="19">
        <f>CF!AL19</f>
        <v/>
      </c>
      <c r="AC146" s="19">
        <f>CF!AN19</f>
        <v/>
      </c>
      <c r="AD146" s="19">
        <f>CF!AO19</f>
        <v/>
      </c>
    </row>
    <row r="147">
      <c r="A147" s="5" t="inlineStr">
        <is>
          <t>out_cf_net</t>
        </is>
      </c>
      <c r="B147" s="5" t="inlineStr">
        <is>
          <t>CF: Net change in cash (= free cash flow)</t>
        </is>
      </c>
      <c r="C147" s="2" t="inlineStr">
        <is>
          <t>GBP k</t>
        </is>
      </c>
      <c r="E147" s="19">
        <f>CF!O22</f>
        <v/>
      </c>
      <c r="F147" s="19">
        <f>CF!P22</f>
        <v/>
      </c>
      <c r="G147" s="19">
        <f>CF!Q22</f>
        <v/>
      </c>
      <c r="H147" s="19">
        <f>CF!R22</f>
        <v/>
      </c>
      <c r="I147" s="19">
        <f>CF!S22</f>
        <v/>
      </c>
      <c r="J147" s="19">
        <f>CF!T22</f>
        <v/>
      </c>
      <c r="K147" s="19">
        <f>CF!U22</f>
        <v/>
      </c>
      <c r="L147" s="19">
        <f>CF!V22</f>
        <v/>
      </c>
      <c r="M147" s="19">
        <f>CF!W22</f>
        <v/>
      </c>
      <c r="N147" s="19">
        <f>CF!X22</f>
        <v/>
      </c>
      <c r="O147" s="19">
        <f>CF!Y22</f>
        <v/>
      </c>
      <c r="P147" s="19">
        <f>CF!Z22</f>
        <v/>
      </c>
      <c r="Q147" s="19">
        <f>CF!AA22</f>
        <v/>
      </c>
      <c r="R147" s="19">
        <f>CF!AB22</f>
        <v/>
      </c>
      <c r="S147" s="19">
        <f>CF!AC22</f>
        <v/>
      </c>
      <c r="T147" s="19">
        <f>CF!AD22</f>
        <v/>
      </c>
      <c r="U147" s="19">
        <f>CF!AE22</f>
        <v/>
      </c>
      <c r="V147" s="19">
        <f>CF!AF22</f>
        <v/>
      </c>
      <c r="W147" s="19">
        <f>CF!AG22</f>
        <v/>
      </c>
      <c r="X147" s="19">
        <f>CF!AH22</f>
        <v/>
      </c>
      <c r="Y147" s="19">
        <f>CF!AI22</f>
        <v/>
      </c>
      <c r="Z147" s="19">
        <f>CF!AJ22</f>
        <v/>
      </c>
      <c r="AA147" s="19">
        <f>CF!AK22</f>
        <v/>
      </c>
      <c r="AB147" s="19">
        <f>CF!AL22</f>
        <v/>
      </c>
      <c r="AC147" s="19">
        <f>CF!AN22</f>
        <v/>
      </c>
      <c r="AD147" s="19">
        <f>CF!AO22</f>
        <v/>
      </c>
    </row>
    <row r="148">
      <c r="A148" s="5" t="inlineStr">
        <is>
          <t>out_cf_cash_open</t>
        </is>
      </c>
      <c r="B148" s="5" t="inlineStr">
        <is>
          <t>CF: Opening cash</t>
        </is>
      </c>
      <c r="C148" s="2" t="inlineStr">
        <is>
          <t>GBP k</t>
        </is>
      </c>
      <c r="E148" s="19">
        <f>CF!O23</f>
        <v/>
      </c>
      <c r="F148" s="19">
        <f>CF!P23</f>
        <v/>
      </c>
      <c r="G148" s="19">
        <f>CF!Q23</f>
        <v/>
      </c>
      <c r="H148" s="19">
        <f>CF!R23</f>
        <v/>
      </c>
      <c r="I148" s="19">
        <f>CF!S23</f>
        <v/>
      </c>
      <c r="J148" s="19">
        <f>CF!T23</f>
        <v/>
      </c>
      <c r="K148" s="19">
        <f>CF!U23</f>
        <v/>
      </c>
      <c r="L148" s="19">
        <f>CF!V23</f>
        <v/>
      </c>
      <c r="M148" s="19">
        <f>CF!W23</f>
        <v/>
      </c>
      <c r="N148" s="19">
        <f>CF!X23</f>
        <v/>
      </c>
      <c r="O148" s="19">
        <f>CF!Y23</f>
        <v/>
      </c>
      <c r="P148" s="19">
        <f>CF!Z23</f>
        <v/>
      </c>
      <c r="Q148" s="19">
        <f>CF!AA23</f>
        <v/>
      </c>
      <c r="R148" s="19">
        <f>CF!AB23</f>
        <v/>
      </c>
      <c r="S148" s="19">
        <f>CF!AC23</f>
        <v/>
      </c>
      <c r="T148" s="19">
        <f>CF!AD23</f>
        <v/>
      </c>
      <c r="U148" s="19">
        <f>CF!AE23</f>
        <v/>
      </c>
      <c r="V148" s="19">
        <f>CF!AF23</f>
        <v/>
      </c>
      <c r="W148" s="19">
        <f>CF!AG23</f>
        <v/>
      </c>
      <c r="X148" s="19">
        <f>CF!AH23</f>
        <v/>
      </c>
      <c r="Y148" s="19">
        <f>CF!AI23</f>
        <v/>
      </c>
      <c r="Z148" s="19">
        <f>CF!AJ23</f>
        <v/>
      </c>
      <c r="AA148" s="19">
        <f>CF!AK23</f>
        <v/>
      </c>
      <c r="AB148" s="19">
        <f>CF!AL23</f>
        <v/>
      </c>
      <c r="AC148" s="19">
        <f>CF!AN23</f>
        <v/>
      </c>
      <c r="AD148" s="19">
        <f>CF!AO23</f>
        <v/>
      </c>
    </row>
    <row r="149">
      <c r="A149" s="5" t="inlineStr">
        <is>
          <t>out_cf_cash_close</t>
        </is>
      </c>
      <c r="B149" s="5" t="inlineStr">
        <is>
          <t>CF: Closing cash</t>
        </is>
      </c>
      <c r="C149" s="2" t="inlineStr">
        <is>
          <t>GBP k</t>
        </is>
      </c>
      <c r="D149" s="19">
        <f>CF!N24</f>
        <v/>
      </c>
      <c r="E149" s="19">
        <f>CF!O24</f>
        <v/>
      </c>
      <c r="F149" s="19">
        <f>CF!P24</f>
        <v/>
      </c>
      <c r="G149" s="19">
        <f>CF!Q24</f>
        <v/>
      </c>
      <c r="H149" s="19">
        <f>CF!R24</f>
        <v/>
      </c>
      <c r="I149" s="19">
        <f>CF!S24</f>
        <v/>
      </c>
      <c r="J149" s="19">
        <f>CF!T24</f>
        <v/>
      </c>
      <c r="K149" s="19">
        <f>CF!U24</f>
        <v/>
      </c>
      <c r="L149" s="19">
        <f>CF!V24</f>
        <v/>
      </c>
      <c r="M149" s="19">
        <f>CF!W24</f>
        <v/>
      </c>
      <c r="N149" s="19">
        <f>CF!X24</f>
        <v/>
      </c>
      <c r="O149" s="19">
        <f>CF!Y24</f>
        <v/>
      </c>
      <c r="P149" s="19">
        <f>CF!Z24</f>
        <v/>
      </c>
      <c r="Q149" s="19">
        <f>CF!AA24</f>
        <v/>
      </c>
      <c r="R149" s="19">
        <f>CF!AB24</f>
        <v/>
      </c>
      <c r="S149" s="19">
        <f>CF!AC24</f>
        <v/>
      </c>
      <c r="T149" s="19">
        <f>CF!AD24</f>
        <v/>
      </c>
      <c r="U149" s="19">
        <f>CF!AE24</f>
        <v/>
      </c>
      <c r="V149" s="19">
        <f>CF!AF24</f>
        <v/>
      </c>
      <c r="W149" s="19">
        <f>CF!AG24</f>
        <v/>
      </c>
      <c r="X149" s="19">
        <f>CF!AH24</f>
        <v/>
      </c>
      <c r="Y149" s="19">
        <f>CF!AI24</f>
        <v/>
      </c>
      <c r="Z149" s="19">
        <f>CF!AJ24</f>
        <v/>
      </c>
      <c r="AA149" s="19">
        <f>CF!AK24</f>
        <v/>
      </c>
      <c r="AB149" s="19">
        <f>CF!AL24</f>
        <v/>
      </c>
      <c r="AC149" s="19">
        <f>CF!AN24</f>
        <v/>
      </c>
      <c r="AD149" s="19">
        <f>CF!AO24</f>
        <v/>
      </c>
    </row>
    <row r="150">
      <c r="A150" s="5" t="inlineStr">
        <is>
          <t>out_sm_arr_open</t>
        </is>
      </c>
      <c r="B150" s="5" t="inlineStr">
        <is>
          <t>SaaS_Metrics: Opening ARR</t>
        </is>
      </c>
      <c r="C150" s="2" t="inlineStr">
        <is>
          <t>GBP k</t>
        </is>
      </c>
      <c r="E150" s="19">
        <f>SaaS_Metrics!O9</f>
        <v/>
      </c>
      <c r="F150" s="19">
        <f>SaaS_Metrics!P9</f>
        <v/>
      </c>
      <c r="G150" s="19">
        <f>SaaS_Metrics!Q9</f>
        <v/>
      </c>
      <c r="H150" s="19">
        <f>SaaS_Metrics!R9</f>
        <v/>
      </c>
      <c r="I150" s="19">
        <f>SaaS_Metrics!S9</f>
        <v/>
      </c>
      <c r="J150" s="19">
        <f>SaaS_Metrics!T9</f>
        <v/>
      </c>
      <c r="K150" s="19">
        <f>SaaS_Metrics!U9</f>
        <v/>
      </c>
      <c r="L150" s="19">
        <f>SaaS_Metrics!V9</f>
        <v/>
      </c>
      <c r="M150" s="19">
        <f>SaaS_Metrics!W9</f>
        <v/>
      </c>
      <c r="N150" s="19">
        <f>SaaS_Metrics!X9</f>
        <v/>
      </c>
      <c r="O150" s="19">
        <f>SaaS_Metrics!Y9</f>
        <v/>
      </c>
      <c r="P150" s="19">
        <f>SaaS_Metrics!Z9</f>
        <v/>
      </c>
      <c r="Q150" s="19">
        <f>SaaS_Metrics!AA9</f>
        <v/>
      </c>
      <c r="R150" s="19">
        <f>SaaS_Metrics!AB9</f>
        <v/>
      </c>
      <c r="S150" s="19">
        <f>SaaS_Metrics!AC9</f>
        <v/>
      </c>
      <c r="T150" s="19">
        <f>SaaS_Metrics!AD9</f>
        <v/>
      </c>
      <c r="U150" s="19">
        <f>SaaS_Metrics!AE9</f>
        <v/>
      </c>
      <c r="V150" s="19">
        <f>SaaS_Metrics!AF9</f>
        <v/>
      </c>
      <c r="W150" s="19">
        <f>SaaS_Metrics!AG9</f>
        <v/>
      </c>
      <c r="X150" s="19">
        <f>SaaS_Metrics!AH9</f>
        <v/>
      </c>
      <c r="Y150" s="19">
        <f>SaaS_Metrics!AI9</f>
        <v/>
      </c>
      <c r="Z150" s="19">
        <f>SaaS_Metrics!AJ9</f>
        <v/>
      </c>
      <c r="AA150" s="19">
        <f>SaaS_Metrics!AK9</f>
        <v/>
      </c>
      <c r="AB150" s="19">
        <f>SaaS_Metrics!AL9</f>
        <v/>
      </c>
      <c r="AC150" s="19">
        <f>SaaS_Metrics!AN9</f>
        <v/>
      </c>
      <c r="AD150" s="19">
        <f>SaaS_Metrics!AO9</f>
        <v/>
      </c>
    </row>
    <row r="151">
      <c r="A151" s="5" t="inlineStr">
        <is>
          <t>out_sm_arr_new</t>
        </is>
      </c>
      <c r="B151" s="5" t="inlineStr">
        <is>
          <t>SaaS_Metrics: + New logos</t>
        </is>
      </c>
      <c r="C151" s="2" t="inlineStr">
        <is>
          <t>GBP k</t>
        </is>
      </c>
      <c r="E151" s="19">
        <f>SaaS_Metrics!O10</f>
        <v/>
      </c>
      <c r="F151" s="19">
        <f>SaaS_Metrics!P10</f>
        <v/>
      </c>
      <c r="G151" s="19">
        <f>SaaS_Metrics!Q10</f>
        <v/>
      </c>
      <c r="H151" s="19">
        <f>SaaS_Metrics!R10</f>
        <v/>
      </c>
      <c r="I151" s="19">
        <f>SaaS_Metrics!S10</f>
        <v/>
      </c>
      <c r="J151" s="19">
        <f>SaaS_Metrics!T10</f>
        <v/>
      </c>
      <c r="K151" s="19">
        <f>SaaS_Metrics!U10</f>
        <v/>
      </c>
      <c r="L151" s="19">
        <f>SaaS_Metrics!V10</f>
        <v/>
      </c>
      <c r="M151" s="19">
        <f>SaaS_Metrics!W10</f>
        <v/>
      </c>
      <c r="N151" s="19">
        <f>SaaS_Metrics!X10</f>
        <v/>
      </c>
      <c r="O151" s="19">
        <f>SaaS_Metrics!Y10</f>
        <v/>
      </c>
      <c r="P151" s="19">
        <f>SaaS_Metrics!Z10</f>
        <v/>
      </c>
      <c r="Q151" s="19">
        <f>SaaS_Metrics!AA10</f>
        <v/>
      </c>
      <c r="R151" s="19">
        <f>SaaS_Metrics!AB10</f>
        <v/>
      </c>
      <c r="S151" s="19">
        <f>SaaS_Metrics!AC10</f>
        <v/>
      </c>
      <c r="T151" s="19">
        <f>SaaS_Metrics!AD10</f>
        <v/>
      </c>
      <c r="U151" s="19">
        <f>SaaS_Metrics!AE10</f>
        <v/>
      </c>
      <c r="V151" s="19">
        <f>SaaS_Metrics!AF10</f>
        <v/>
      </c>
      <c r="W151" s="19">
        <f>SaaS_Metrics!AG10</f>
        <v/>
      </c>
      <c r="X151" s="19">
        <f>SaaS_Metrics!AH10</f>
        <v/>
      </c>
      <c r="Y151" s="19">
        <f>SaaS_Metrics!AI10</f>
        <v/>
      </c>
      <c r="Z151" s="19">
        <f>SaaS_Metrics!AJ10</f>
        <v/>
      </c>
      <c r="AA151" s="19">
        <f>SaaS_Metrics!AK10</f>
        <v/>
      </c>
      <c r="AB151" s="19">
        <f>SaaS_Metrics!AL10</f>
        <v/>
      </c>
      <c r="AC151" s="19">
        <f>SaaS_Metrics!AN10</f>
        <v/>
      </c>
      <c r="AD151" s="19">
        <f>SaaS_Metrics!AO10</f>
        <v/>
      </c>
    </row>
    <row r="152">
      <c r="A152" s="5" t="inlineStr">
        <is>
          <t>out_sm_arr_exp</t>
        </is>
      </c>
      <c r="B152" s="5" t="inlineStr">
        <is>
          <t>SaaS_Metrics: + Expansion</t>
        </is>
      </c>
      <c r="C152" s="2" t="inlineStr">
        <is>
          <t>GBP k</t>
        </is>
      </c>
      <c r="E152" s="19">
        <f>SaaS_Metrics!O11</f>
        <v/>
      </c>
      <c r="F152" s="19">
        <f>SaaS_Metrics!P11</f>
        <v/>
      </c>
      <c r="G152" s="19">
        <f>SaaS_Metrics!Q11</f>
        <v/>
      </c>
      <c r="H152" s="19">
        <f>SaaS_Metrics!R11</f>
        <v/>
      </c>
      <c r="I152" s="19">
        <f>SaaS_Metrics!S11</f>
        <v/>
      </c>
      <c r="J152" s="19">
        <f>SaaS_Metrics!T11</f>
        <v/>
      </c>
      <c r="K152" s="19">
        <f>SaaS_Metrics!U11</f>
        <v/>
      </c>
      <c r="L152" s="19">
        <f>SaaS_Metrics!V11</f>
        <v/>
      </c>
      <c r="M152" s="19">
        <f>SaaS_Metrics!W11</f>
        <v/>
      </c>
      <c r="N152" s="19">
        <f>SaaS_Metrics!X11</f>
        <v/>
      </c>
      <c r="O152" s="19">
        <f>SaaS_Metrics!Y11</f>
        <v/>
      </c>
      <c r="P152" s="19">
        <f>SaaS_Metrics!Z11</f>
        <v/>
      </c>
      <c r="Q152" s="19">
        <f>SaaS_Metrics!AA11</f>
        <v/>
      </c>
      <c r="R152" s="19">
        <f>SaaS_Metrics!AB11</f>
        <v/>
      </c>
      <c r="S152" s="19">
        <f>SaaS_Metrics!AC11</f>
        <v/>
      </c>
      <c r="T152" s="19">
        <f>SaaS_Metrics!AD11</f>
        <v/>
      </c>
      <c r="U152" s="19">
        <f>SaaS_Metrics!AE11</f>
        <v/>
      </c>
      <c r="V152" s="19">
        <f>SaaS_Metrics!AF11</f>
        <v/>
      </c>
      <c r="W152" s="19">
        <f>SaaS_Metrics!AG11</f>
        <v/>
      </c>
      <c r="X152" s="19">
        <f>SaaS_Metrics!AH11</f>
        <v/>
      </c>
      <c r="Y152" s="19">
        <f>SaaS_Metrics!AI11</f>
        <v/>
      </c>
      <c r="Z152" s="19">
        <f>SaaS_Metrics!AJ11</f>
        <v/>
      </c>
      <c r="AA152" s="19">
        <f>SaaS_Metrics!AK11</f>
        <v/>
      </c>
      <c r="AB152" s="19">
        <f>SaaS_Metrics!AL11</f>
        <v/>
      </c>
      <c r="AC152" s="19">
        <f>SaaS_Metrics!AN11</f>
        <v/>
      </c>
      <c r="AD152" s="19">
        <f>SaaS_Metrics!AO11</f>
        <v/>
      </c>
    </row>
    <row r="153">
      <c r="A153" s="5" t="inlineStr">
        <is>
          <t>out_sm_arr_churn</t>
        </is>
      </c>
      <c r="B153" s="5" t="inlineStr">
        <is>
          <t>SaaS_Metrics: - Churn</t>
        </is>
      </c>
      <c r="C153" s="2" t="inlineStr">
        <is>
          <t>GBP k</t>
        </is>
      </c>
      <c r="E153" s="19">
        <f>SaaS_Metrics!O12</f>
        <v/>
      </c>
      <c r="F153" s="19">
        <f>SaaS_Metrics!P12</f>
        <v/>
      </c>
      <c r="G153" s="19">
        <f>SaaS_Metrics!Q12</f>
        <v/>
      </c>
      <c r="H153" s="19">
        <f>SaaS_Metrics!R12</f>
        <v/>
      </c>
      <c r="I153" s="19">
        <f>SaaS_Metrics!S12</f>
        <v/>
      </c>
      <c r="J153" s="19">
        <f>SaaS_Metrics!T12</f>
        <v/>
      </c>
      <c r="K153" s="19">
        <f>SaaS_Metrics!U12</f>
        <v/>
      </c>
      <c r="L153" s="19">
        <f>SaaS_Metrics!V12</f>
        <v/>
      </c>
      <c r="M153" s="19">
        <f>SaaS_Metrics!W12</f>
        <v/>
      </c>
      <c r="N153" s="19">
        <f>SaaS_Metrics!X12</f>
        <v/>
      </c>
      <c r="O153" s="19">
        <f>SaaS_Metrics!Y12</f>
        <v/>
      </c>
      <c r="P153" s="19">
        <f>SaaS_Metrics!Z12</f>
        <v/>
      </c>
      <c r="Q153" s="19">
        <f>SaaS_Metrics!AA12</f>
        <v/>
      </c>
      <c r="R153" s="19">
        <f>SaaS_Metrics!AB12</f>
        <v/>
      </c>
      <c r="S153" s="19">
        <f>SaaS_Metrics!AC12</f>
        <v/>
      </c>
      <c r="T153" s="19">
        <f>SaaS_Metrics!AD12</f>
        <v/>
      </c>
      <c r="U153" s="19">
        <f>SaaS_Metrics!AE12</f>
        <v/>
      </c>
      <c r="V153" s="19">
        <f>SaaS_Metrics!AF12</f>
        <v/>
      </c>
      <c r="W153" s="19">
        <f>SaaS_Metrics!AG12</f>
        <v/>
      </c>
      <c r="X153" s="19">
        <f>SaaS_Metrics!AH12</f>
        <v/>
      </c>
      <c r="Y153" s="19">
        <f>SaaS_Metrics!AI12</f>
        <v/>
      </c>
      <c r="Z153" s="19">
        <f>SaaS_Metrics!AJ12</f>
        <v/>
      </c>
      <c r="AA153" s="19">
        <f>SaaS_Metrics!AK12</f>
        <v/>
      </c>
      <c r="AB153" s="19">
        <f>SaaS_Metrics!AL12</f>
        <v/>
      </c>
      <c r="AC153" s="19">
        <f>SaaS_Metrics!AN12</f>
        <v/>
      </c>
      <c r="AD153" s="19">
        <f>SaaS_Metrics!AO12</f>
        <v/>
      </c>
    </row>
    <row r="154">
      <c r="A154" s="5" t="inlineStr">
        <is>
          <t>out_sm_arr_close</t>
        </is>
      </c>
      <c r="B154" s="5" t="inlineStr">
        <is>
          <t>SaaS_Metrics: Closing ARR</t>
        </is>
      </c>
      <c r="C154" s="2" t="inlineStr">
        <is>
          <t>GBP k</t>
        </is>
      </c>
      <c r="D154" s="19">
        <f>SaaS_Metrics!N13</f>
        <v/>
      </c>
      <c r="E154" s="19">
        <f>SaaS_Metrics!O13</f>
        <v/>
      </c>
      <c r="F154" s="19">
        <f>SaaS_Metrics!P13</f>
        <v/>
      </c>
      <c r="G154" s="19">
        <f>SaaS_Metrics!Q13</f>
        <v/>
      </c>
      <c r="H154" s="19">
        <f>SaaS_Metrics!R13</f>
        <v/>
      </c>
      <c r="I154" s="19">
        <f>SaaS_Metrics!S13</f>
        <v/>
      </c>
      <c r="J154" s="19">
        <f>SaaS_Metrics!T13</f>
        <v/>
      </c>
      <c r="K154" s="19">
        <f>SaaS_Metrics!U13</f>
        <v/>
      </c>
      <c r="L154" s="19">
        <f>SaaS_Metrics!V13</f>
        <v/>
      </c>
      <c r="M154" s="19">
        <f>SaaS_Metrics!W13</f>
        <v/>
      </c>
      <c r="N154" s="19">
        <f>SaaS_Metrics!X13</f>
        <v/>
      </c>
      <c r="O154" s="19">
        <f>SaaS_Metrics!Y13</f>
        <v/>
      </c>
      <c r="P154" s="19">
        <f>SaaS_Metrics!Z13</f>
        <v/>
      </c>
      <c r="Q154" s="19">
        <f>SaaS_Metrics!AA13</f>
        <v/>
      </c>
      <c r="R154" s="19">
        <f>SaaS_Metrics!AB13</f>
        <v/>
      </c>
      <c r="S154" s="19">
        <f>SaaS_Metrics!AC13</f>
        <v/>
      </c>
      <c r="T154" s="19">
        <f>SaaS_Metrics!AD13</f>
        <v/>
      </c>
      <c r="U154" s="19">
        <f>SaaS_Metrics!AE13</f>
        <v/>
      </c>
      <c r="V154" s="19">
        <f>SaaS_Metrics!AF13</f>
        <v/>
      </c>
      <c r="W154" s="19">
        <f>SaaS_Metrics!AG13</f>
        <v/>
      </c>
      <c r="X154" s="19">
        <f>SaaS_Metrics!AH13</f>
        <v/>
      </c>
      <c r="Y154" s="19">
        <f>SaaS_Metrics!AI13</f>
        <v/>
      </c>
      <c r="Z154" s="19">
        <f>SaaS_Metrics!AJ13</f>
        <v/>
      </c>
      <c r="AA154" s="19">
        <f>SaaS_Metrics!AK13</f>
        <v/>
      </c>
      <c r="AB154" s="19">
        <f>SaaS_Metrics!AL13</f>
        <v/>
      </c>
      <c r="AC154" s="19">
        <f>SaaS_Metrics!AN13</f>
        <v/>
      </c>
      <c r="AD154" s="19">
        <f>SaaS_Metrics!AO13</f>
        <v/>
      </c>
    </row>
    <row r="155">
      <c r="A155" s="5" t="inlineStr">
        <is>
          <t>out_sm_netnew</t>
        </is>
      </c>
      <c r="B155" s="5" t="inlineStr">
        <is>
          <t>SaaS_Metrics: Net new ARR</t>
        </is>
      </c>
      <c r="C155" s="2" t="inlineStr">
        <is>
          <t>GBP k</t>
        </is>
      </c>
      <c r="E155" s="19">
        <f>SaaS_Metrics!O15</f>
        <v/>
      </c>
      <c r="F155" s="19">
        <f>SaaS_Metrics!P15</f>
        <v/>
      </c>
      <c r="G155" s="19">
        <f>SaaS_Metrics!Q15</f>
        <v/>
      </c>
      <c r="H155" s="19">
        <f>SaaS_Metrics!R15</f>
        <v/>
      </c>
      <c r="I155" s="19">
        <f>SaaS_Metrics!S15</f>
        <v/>
      </c>
      <c r="J155" s="19">
        <f>SaaS_Metrics!T15</f>
        <v/>
      </c>
      <c r="K155" s="19">
        <f>SaaS_Metrics!U15</f>
        <v/>
      </c>
      <c r="L155" s="19">
        <f>SaaS_Metrics!V15</f>
        <v/>
      </c>
      <c r="M155" s="19">
        <f>SaaS_Metrics!W15</f>
        <v/>
      </c>
      <c r="N155" s="19">
        <f>SaaS_Metrics!X15</f>
        <v/>
      </c>
      <c r="O155" s="19">
        <f>SaaS_Metrics!Y15</f>
        <v/>
      </c>
      <c r="P155" s="19">
        <f>SaaS_Metrics!Z15</f>
        <v/>
      </c>
      <c r="Q155" s="19">
        <f>SaaS_Metrics!AA15</f>
        <v/>
      </c>
      <c r="R155" s="19">
        <f>SaaS_Metrics!AB15</f>
        <v/>
      </c>
      <c r="S155" s="19">
        <f>SaaS_Metrics!AC15</f>
        <v/>
      </c>
      <c r="T155" s="19">
        <f>SaaS_Metrics!AD15</f>
        <v/>
      </c>
      <c r="U155" s="19">
        <f>SaaS_Metrics!AE15</f>
        <v/>
      </c>
      <c r="V155" s="19">
        <f>SaaS_Metrics!AF15</f>
        <v/>
      </c>
      <c r="W155" s="19">
        <f>SaaS_Metrics!AG15</f>
        <v/>
      </c>
      <c r="X155" s="19">
        <f>SaaS_Metrics!AH15</f>
        <v/>
      </c>
      <c r="Y155" s="19">
        <f>SaaS_Metrics!AI15</f>
        <v/>
      </c>
      <c r="Z155" s="19">
        <f>SaaS_Metrics!AJ15</f>
        <v/>
      </c>
      <c r="AA155" s="19">
        <f>SaaS_Metrics!AK15</f>
        <v/>
      </c>
      <c r="AB155" s="19">
        <f>SaaS_Metrics!AL15</f>
        <v/>
      </c>
      <c r="AC155" s="19">
        <f>SaaS_Metrics!AN15</f>
        <v/>
      </c>
      <c r="AD155" s="19">
        <f>SaaS_Metrics!AO15</f>
        <v/>
      </c>
    </row>
    <row r="156">
      <c r="A156" s="5" t="inlineStr">
        <is>
          <t>out_sm_growth</t>
        </is>
      </c>
      <c r="B156" s="5" t="inlineStr">
        <is>
          <t>SaaS_Metrics: ARR growth, year on year</t>
        </is>
      </c>
      <c r="C156" s="2" t="inlineStr">
        <is>
          <t>%</t>
        </is>
      </c>
      <c r="E156" s="17">
        <f>SaaS_Metrics!O16</f>
        <v/>
      </c>
      <c r="F156" s="17">
        <f>SaaS_Metrics!P16</f>
        <v/>
      </c>
      <c r="G156" s="17">
        <f>SaaS_Metrics!Q16</f>
        <v/>
      </c>
      <c r="H156" s="17">
        <f>SaaS_Metrics!R16</f>
        <v/>
      </c>
      <c r="I156" s="17">
        <f>SaaS_Metrics!S16</f>
        <v/>
      </c>
      <c r="J156" s="17">
        <f>SaaS_Metrics!T16</f>
        <v/>
      </c>
      <c r="K156" s="17">
        <f>SaaS_Metrics!U16</f>
        <v/>
      </c>
      <c r="L156" s="17">
        <f>SaaS_Metrics!V16</f>
        <v/>
      </c>
      <c r="M156" s="17">
        <f>SaaS_Metrics!W16</f>
        <v/>
      </c>
      <c r="N156" s="17">
        <f>SaaS_Metrics!X16</f>
        <v/>
      </c>
      <c r="O156" s="17">
        <f>SaaS_Metrics!Y16</f>
        <v/>
      </c>
      <c r="P156" s="17">
        <f>SaaS_Metrics!Z16</f>
        <v/>
      </c>
      <c r="Q156" s="17">
        <f>SaaS_Metrics!AA16</f>
        <v/>
      </c>
      <c r="R156" s="17">
        <f>SaaS_Metrics!AB16</f>
        <v/>
      </c>
      <c r="S156" s="17">
        <f>SaaS_Metrics!AC16</f>
        <v/>
      </c>
      <c r="T156" s="17">
        <f>SaaS_Metrics!AD16</f>
        <v/>
      </c>
      <c r="U156" s="17">
        <f>SaaS_Metrics!AE16</f>
        <v/>
      </c>
      <c r="V156" s="17">
        <f>SaaS_Metrics!AF16</f>
        <v/>
      </c>
      <c r="W156" s="17">
        <f>SaaS_Metrics!AG16</f>
        <v/>
      </c>
      <c r="X156" s="17">
        <f>SaaS_Metrics!AH16</f>
        <v/>
      </c>
      <c r="Y156" s="17">
        <f>SaaS_Metrics!AI16</f>
        <v/>
      </c>
      <c r="Z156" s="17">
        <f>SaaS_Metrics!AJ16</f>
        <v/>
      </c>
      <c r="AA156" s="17">
        <f>SaaS_Metrics!AK16</f>
        <v/>
      </c>
      <c r="AB156" s="17">
        <f>SaaS_Metrics!AL16</f>
        <v/>
      </c>
      <c r="AC156" s="17">
        <f>SaaS_Metrics!AN16</f>
        <v/>
      </c>
      <c r="AD156" s="17">
        <f>SaaS_Metrics!AO16</f>
        <v/>
      </c>
    </row>
    <row r="157">
      <c r="A157" s="5" t="inlineStr">
        <is>
          <t>out_sm_nrr</t>
        </is>
      </c>
      <c r="B157" s="5" t="inlineStr">
        <is>
          <t>SaaS_Metrics: Net revenue retention (NRR)</t>
        </is>
      </c>
      <c r="C157" s="2" t="inlineStr">
        <is>
          <t>%</t>
        </is>
      </c>
      <c r="E157" s="17">
        <f>SaaS_Metrics!O19</f>
        <v/>
      </c>
      <c r="F157" s="17">
        <f>SaaS_Metrics!P19</f>
        <v/>
      </c>
      <c r="G157" s="17">
        <f>SaaS_Metrics!Q19</f>
        <v/>
      </c>
      <c r="H157" s="17">
        <f>SaaS_Metrics!R19</f>
        <v/>
      </c>
      <c r="I157" s="17">
        <f>SaaS_Metrics!S19</f>
        <v/>
      </c>
      <c r="J157" s="17">
        <f>SaaS_Metrics!T19</f>
        <v/>
      </c>
      <c r="K157" s="17">
        <f>SaaS_Metrics!U19</f>
        <v/>
      </c>
      <c r="L157" s="17">
        <f>SaaS_Metrics!V19</f>
        <v/>
      </c>
      <c r="M157" s="17">
        <f>SaaS_Metrics!W19</f>
        <v/>
      </c>
      <c r="N157" s="17">
        <f>SaaS_Metrics!X19</f>
        <v/>
      </c>
      <c r="O157" s="17">
        <f>SaaS_Metrics!Y19</f>
        <v/>
      </c>
      <c r="P157" s="17">
        <f>SaaS_Metrics!Z19</f>
        <v/>
      </c>
      <c r="Q157" s="17">
        <f>SaaS_Metrics!AA19</f>
        <v/>
      </c>
      <c r="R157" s="17">
        <f>SaaS_Metrics!AB19</f>
        <v/>
      </c>
      <c r="S157" s="17">
        <f>SaaS_Metrics!AC19</f>
        <v/>
      </c>
      <c r="T157" s="17">
        <f>SaaS_Metrics!AD19</f>
        <v/>
      </c>
      <c r="U157" s="17">
        <f>SaaS_Metrics!AE19</f>
        <v/>
      </c>
      <c r="V157" s="17">
        <f>SaaS_Metrics!AF19</f>
        <v/>
      </c>
      <c r="W157" s="17">
        <f>SaaS_Metrics!AG19</f>
        <v/>
      </c>
      <c r="X157" s="17">
        <f>SaaS_Metrics!AH19</f>
        <v/>
      </c>
      <c r="Y157" s="17">
        <f>SaaS_Metrics!AI19</f>
        <v/>
      </c>
      <c r="Z157" s="17">
        <f>SaaS_Metrics!AJ19</f>
        <v/>
      </c>
      <c r="AA157" s="17">
        <f>SaaS_Metrics!AK19</f>
        <v/>
      </c>
      <c r="AB157" s="17">
        <f>SaaS_Metrics!AL19</f>
        <v/>
      </c>
      <c r="AC157" s="17">
        <f>SaaS_Metrics!AN19</f>
        <v/>
      </c>
      <c r="AD157" s="17">
        <f>SaaS_Metrics!AO19</f>
        <v/>
      </c>
    </row>
    <row r="158">
      <c r="A158" s="5" t="inlineStr">
        <is>
          <t>out_sm_grr</t>
        </is>
      </c>
      <c r="B158" s="5" t="inlineStr">
        <is>
          <t>SaaS_Metrics: Gross revenue retention (GRR)</t>
        </is>
      </c>
      <c r="C158" s="2" t="inlineStr">
        <is>
          <t>%</t>
        </is>
      </c>
      <c r="E158" s="17">
        <f>SaaS_Metrics!O20</f>
        <v/>
      </c>
      <c r="F158" s="17">
        <f>SaaS_Metrics!P20</f>
        <v/>
      </c>
      <c r="G158" s="17">
        <f>SaaS_Metrics!Q20</f>
        <v/>
      </c>
      <c r="H158" s="17">
        <f>SaaS_Metrics!R20</f>
        <v/>
      </c>
      <c r="I158" s="17">
        <f>SaaS_Metrics!S20</f>
        <v/>
      </c>
      <c r="J158" s="17">
        <f>SaaS_Metrics!T20</f>
        <v/>
      </c>
      <c r="K158" s="17">
        <f>SaaS_Metrics!U20</f>
        <v/>
      </c>
      <c r="L158" s="17">
        <f>SaaS_Metrics!V20</f>
        <v/>
      </c>
      <c r="M158" s="17">
        <f>SaaS_Metrics!W20</f>
        <v/>
      </c>
      <c r="N158" s="17">
        <f>SaaS_Metrics!X20</f>
        <v/>
      </c>
      <c r="O158" s="17">
        <f>SaaS_Metrics!Y20</f>
        <v/>
      </c>
      <c r="P158" s="17">
        <f>SaaS_Metrics!Z20</f>
        <v/>
      </c>
      <c r="Q158" s="17">
        <f>SaaS_Metrics!AA20</f>
        <v/>
      </c>
      <c r="R158" s="17">
        <f>SaaS_Metrics!AB20</f>
        <v/>
      </c>
      <c r="S158" s="17">
        <f>SaaS_Metrics!AC20</f>
        <v/>
      </c>
      <c r="T158" s="17">
        <f>SaaS_Metrics!AD20</f>
        <v/>
      </c>
      <c r="U158" s="17">
        <f>SaaS_Metrics!AE20</f>
        <v/>
      </c>
      <c r="V158" s="17">
        <f>SaaS_Metrics!AF20</f>
        <v/>
      </c>
      <c r="W158" s="17">
        <f>SaaS_Metrics!AG20</f>
        <v/>
      </c>
      <c r="X158" s="17">
        <f>SaaS_Metrics!AH20</f>
        <v/>
      </c>
      <c r="Y158" s="17">
        <f>SaaS_Metrics!AI20</f>
        <v/>
      </c>
      <c r="Z158" s="17">
        <f>SaaS_Metrics!AJ20</f>
        <v/>
      </c>
      <c r="AA158" s="17">
        <f>SaaS_Metrics!AK20</f>
        <v/>
      </c>
      <c r="AB158" s="17">
        <f>SaaS_Metrics!AL20</f>
        <v/>
      </c>
      <c r="AC158" s="17">
        <f>SaaS_Metrics!AN20</f>
        <v/>
      </c>
      <c r="AD158" s="17">
        <f>SaaS_Metrics!AO20</f>
        <v/>
      </c>
    </row>
    <row r="159">
      <c r="A159" s="5" t="inlineStr">
        <is>
          <t>out_sm_logo_churn</t>
        </is>
      </c>
      <c r="B159" s="5" t="inlineStr">
        <is>
          <t>SaaS_Metrics: Logo churn (annualised)</t>
        </is>
      </c>
      <c r="C159" s="2" t="inlineStr">
        <is>
          <t>%</t>
        </is>
      </c>
      <c r="E159" s="17">
        <f>SaaS_Metrics!O21</f>
        <v/>
      </c>
      <c r="F159" s="17">
        <f>SaaS_Metrics!P21</f>
        <v/>
      </c>
      <c r="G159" s="17">
        <f>SaaS_Metrics!Q21</f>
        <v/>
      </c>
      <c r="H159" s="17">
        <f>SaaS_Metrics!R21</f>
        <v/>
      </c>
      <c r="I159" s="17">
        <f>SaaS_Metrics!S21</f>
        <v/>
      </c>
      <c r="J159" s="17">
        <f>SaaS_Metrics!T21</f>
        <v/>
      </c>
      <c r="K159" s="17">
        <f>SaaS_Metrics!U21</f>
        <v/>
      </c>
      <c r="L159" s="17">
        <f>SaaS_Metrics!V21</f>
        <v/>
      </c>
      <c r="M159" s="17">
        <f>SaaS_Metrics!W21</f>
        <v/>
      </c>
      <c r="N159" s="17">
        <f>SaaS_Metrics!X21</f>
        <v/>
      </c>
      <c r="O159" s="17">
        <f>SaaS_Metrics!Y21</f>
        <v/>
      </c>
      <c r="P159" s="17">
        <f>SaaS_Metrics!Z21</f>
        <v/>
      </c>
      <c r="Q159" s="17">
        <f>SaaS_Metrics!AA21</f>
        <v/>
      </c>
      <c r="R159" s="17">
        <f>SaaS_Metrics!AB21</f>
        <v/>
      </c>
      <c r="S159" s="17">
        <f>SaaS_Metrics!AC21</f>
        <v/>
      </c>
      <c r="T159" s="17">
        <f>SaaS_Metrics!AD21</f>
        <v/>
      </c>
      <c r="U159" s="17">
        <f>SaaS_Metrics!AE21</f>
        <v/>
      </c>
      <c r="V159" s="17">
        <f>SaaS_Metrics!AF21</f>
        <v/>
      </c>
      <c r="W159" s="17">
        <f>SaaS_Metrics!AG21</f>
        <v/>
      </c>
      <c r="X159" s="17">
        <f>SaaS_Metrics!AH21</f>
        <v/>
      </c>
      <c r="Y159" s="17">
        <f>SaaS_Metrics!AI21</f>
        <v/>
      </c>
      <c r="Z159" s="17">
        <f>SaaS_Metrics!AJ21</f>
        <v/>
      </c>
      <c r="AA159" s="17">
        <f>SaaS_Metrics!AK21</f>
        <v/>
      </c>
      <c r="AB159" s="17">
        <f>SaaS_Metrics!AL21</f>
        <v/>
      </c>
      <c r="AC159" s="17">
        <f>SaaS_Metrics!AN21</f>
        <v/>
      </c>
      <c r="AD159" s="17">
        <f>SaaS_Metrics!AO21</f>
        <v/>
      </c>
    </row>
    <row r="160">
      <c r="A160" s="5" t="inlineStr">
        <is>
          <t>out_sm_sm_spend</t>
        </is>
      </c>
      <c r="B160" s="5" t="inlineStr">
        <is>
          <t>SaaS_Metrics: Sales &amp; marketing spend (cash basis: P&amp;L + capitalised - amortised commission)</t>
        </is>
      </c>
      <c r="C160" s="2" t="inlineStr">
        <is>
          <t>GBP k</t>
        </is>
      </c>
      <c r="E160" s="19">
        <f>SaaS_Metrics!O24</f>
        <v/>
      </c>
      <c r="F160" s="19">
        <f>SaaS_Metrics!P24</f>
        <v/>
      </c>
      <c r="G160" s="19">
        <f>SaaS_Metrics!Q24</f>
        <v/>
      </c>
      <c r="H160" s="19">
        <f>SaaS_Metrics!R24</f>
        <v/>
      </c>
      <c r="I160" s="19">
        <f>SaaS_Metrics!S24</f>
        <v/>
      </c>
      <c r="J160" s="19">
        <f>SaaS_Metrics!T24</f>
        <v/>
      </c>
      <c r="K160" s="19">
        <f>SaaS_Metrics!U24</f>
        <v/>
      </c>
      <c r="L160" s="19">
        <f>SaaS_Metrics!V24</f>
        <v/>
      </c>
      <c r="M160" s="19">
        <f>SaaS_Metrics!W24</f>
        <v/>
      </c>
      <c r="N160" s="19">
        <f>SaaS_Metrics!X24</f>
        <v/>
      </c>
      <c r="O160" s="19">
        <f>SaaS_Metrics!Y24</f>
        <v/>
      </c>
      <c r="P160" s="19">
        <f>SaaS_Metrics!Z24</f>
        <v/>
      </c>
      <c r="Q160" s="19">
        <f>SaaS_Metrics!AA24</f>
        <v/>
      </c>
      <c r="R160" s="19">
        <f>SaaS_Metrics!AB24</f>
        <v/>
      </c>
      <c r="S160" s="19">
        <f>SaaS_Metrics!AC24</f>
        <v/>
      </c>
      <c r="T160" s="19">
        <f>SaaS_Metrics!AD24</f>
        <v/>
      </c>
      <c r="U160" s="19">
        <f>SaaS_Metrics!AE24</f>
        <v/>
      </c>
      <c r="V160" s="19">
        <f>SaaS_Metrics!AF24</f>
        <v/>
      </c>
      <c r="W160" s="19">
        <f>SaaS_Metrics!AG24</f>
        <v/>
      </c>
      <c r="X160" s="19">
        <f>SaaS_Metrics!AH24</f>
        <v/>
      </c>
      <c r="Y160" s="19">
        <f>SaaS_Metrics!AI24</f>
        <v/>
      </c>
      <c r="Z160" s="19">
        <f>SaaS_Metrics!AJ24</f>
        <v/>
      </c>
      <c r="AA160" s="19">
        <f>SaaS_Metrics!AK24</f>
        <v/>
      </c>
      <c r="AB160" s="19">
        <f>SaaS_Metrics!AL24</f>
        <v/>
      </c>
      <c r="AC160" s="19">
        <f>SaaS_Metrics!AN24</f>
        <v/>
      </c>
      <c r="AD160" s="19">
        <f>SaaS_Metrics!AO24</f>
        <v/>
      </c>
    </row>
    <row r="161">
      <c r="A161" s="5" t="inlineStr">
        <is>
          <t>out_sm_cac</t>
        </is>
      </c>
      <c r="B161" s="5" t="inlineStr">
        <is>
          <t>SaaS_Metrics: CAC per new logo (blended)</t>
        </is>
      </c>
      <c r="C161" s="2" t="inlineStr">
        <is>
          <t>GBP k</t>
        </is>
      </c>
      <c r="E161" s="15">
        <f>SaaS_Metrics!O26</f>
        <v/>
      </c>
      <c r="F161" s="15">
        <f>SaaS_Metrics!P26</f>
        <v/>
      </c>
      <c r="G161" s="15">
        <f>SaaS_Metrics!Q26</f>
        <v/>
      </c>
      <c r="H161" s="15">
        <f>SaaS_Metrics!R26</f>
        <v/>
      </c>
      <c r="I161" s="15">
        <f>SaaS_Metrics!S26</f>
        <v/>
      </c>
      <c r="J161" s="15">
        <f>SaaS_Metrics!T26</f>
        <v/>
      </c>
      <c r="K161" s="15">
        <f>SaaS_Metrics!U26</f>
        <v/>
      </c>
      <c r="L161" s="15">
        <f>SaaS_Metrics!V26</f>
        <v/>
      </c>
      <c r="M161" s="15">
        <f>SaaS_Metrics!W26</f>
        <v/>
      </c>
      <c r="N161" s="15">
        <f>SaaS_Metrics!X26</f>
        <v/>
      </c>
      <c r="O161" s="15">
        <f>SaaS_Metrics!Y26</f>
        <v/>
      </c>
      <c r="P161" s="15">
        <f>SaaS_Metrics!Z26</f>
        <v/>
      </c>
      <c r="Q161" s="15">
        <f>SaaS_Metrics!AA26</f>
        <v/>
      </c>
      <c r="R161" s="15">
        <f>SaaS_Metrics!AB26</f>
        <v/>
      </c>
      <c r="S161" s="15">
        <f>SaaS_Metrics!AC26</f>
        <v/>
      </c>
      <c r="T161" s="15">
        <f>SaaS_Metrics!AD26</f>
        <v/>
      </c>
      <c r="U161" s="15">
        <f>SaaS_Metrics!AE26</f>
        <v/>
      </c>
      <c r="V161" s="15">
        <f>SaaS_Metrics!AF26</f>
        <v/>
      </c>
      <c r="W161" s="15">
        <f>SaaS_Metrics!AG26</f>
        <v/>
      </c>
      <c r="X161" s="15">
        <f>SaaS_Metrics!AH26</f>
        <v/>
      </c>
      <c r="Y161" s="15">
        <f>SaaS_Metrics!AI26</f>
        <v/>
      </c>
      <c r="Z161" s="15">
        <f>SaaS_Metrics!AJ26</f>
        <v/>
      </c>
      <c r="AA161" s="15">
        <f>SaaS_Metrics!AK26</f>
        <v/>
      </c>
      <c r="AB161" s="15">
        <f>SaaS_Metrics!AL26</f>
        <v/>
      </c>
      <c r="AC161" s="15">
        <f>SaaS_Metrics!AN26</f>
        <v/>
      </c>
      <c r="AD161" s="15">
        <f>SaaS_Metrics!AO26</f>
        <v/>
      </c>
    </row>
    <row r="162">
      <c r="A162" s="5" t="inlineStr">
        <is>
          <t>out_sm_gm</t>
        </is>
      </c>
      <c r="B162" s="5" t="inlineStr">
        <is>
          <t>SaaS_Metrics: Gross margin</t>
        </is>
      </c>
      <c r="C162" s="2" t="inlineStr">
        <is>
          <t>%</t>
        </is>
      </c>
      <c r="E162" s="17">
        <f>SaaS_Metrics!O27</f>
        <v/>
      </c>
      <c r="F162" s="17">
        <f>SaaS_Metrics!P27</f>
        <v/>
      </c>
      <c r="G162" s="17">
        <f>SaaS_Metrics!Q27</f>
        <v/>
      </c>
      <c r="H162" s="17">
        <f>SaaS_Metrics!R27</f>
        <v/>
      </c>
      <c r="I162" s="17">
        <f>SaaS_Metrics!S27</f>
        <v/>
      </c>
      <c r="J162" s="17">
        <f>SaaS_Metrics!T27</f>
        <v/>
      </c>
      <c r="K162" s="17">
        <f>SaaS_Metrics!U27</f>
        <v/>
      </c>
      <c r="L162" s="17">
        <f>SaaS_Metrics!V27</f>
        <v/>
      </c>
      <c r="M162" s="17">
        <f>SaaS_Metrics!W27</f>
        <v/>
      </c>
      <c r="N162" s="17">
        <f>SaaS_Metrics!X27</f>
        <v/>
      </c>
      <c r="O162" s="17">
        <f>SaaS_Metrics!Y27</f>
        <v/>
      </c>
      <c r="P162" s="17">
        <f>SaaS_Metrics!Z27</f>
        <v/>
      </c>
      <c r="Q162" s="17">
        <f>SaaS_Metrics!AA27</f>
        <v/>
      </c>
      <c r="R162" s="17">
        <f>SaaS_Metrics!AB27</f>
        <v/>
      </c>
      <c r="S162" s="17">
        <f>SaaS_Metrics!AC27</f>
        <v/>
      </c>
      <c r="T162" s="17">
        <f>SaaS_Metrics!AD27</f>
        <v/>
      </c>
      <c r="U162" s="17">
        <f>SaaS_Metrics!AE27</f>
        <v/>
      </c>
      <c r="V162" s="17">
        <f>SaaS_Metrics!AF27</f>
        <v/>
      </c>
      <c r="W162" s="17">
        <f>SaaS_Metrics!AG27</f>
        <v/>
      </c>
      <c r="X162" s="17">
        <f>SaaS_Metrics!AH27</f>
        <v/>
      </c>
      <c r="Y162" s="17">
        <f>SaaS_Metrics!AI27</f>
        <v/>
      </c>
      <c r="Z162" s="17">
        <f>SaaS_Metrics!AJ27</f>
        <v/>
      </c>
      <c r="AA162" s="17">
        <f>SaaS_Metrics!AK27</f>
        <v/>
      </c>
      <c r="AB162" s="17">
        <f>SaaS_Metrics!AL27</f>
        <v/>
      </c>
      <c r="AC162" s="17">
        <f>SaaS_Metrics!AN27</f>
        <v/>
      </c>
      <c r="AD162" s="17">
        <f>SaaS_Metrics!AO27</f>
        <v/>
      </c>
    </row>
    <row r="163">
      <c r="A163" s="5" t="inlineStr">
        <is>
          <t>out_sm_payback</t>
        </is>
      </c>
      <c r="B163" s="5" t="inlineStr">
        <is>
          <t>SaaS_Metrics: CAC payback (months of gross-margin on new + expansion ARR)</t>
        </is>
      </c>
      <c r="C163" s="2" t="inlineStr">
        <is>
          <t>months</t>
        </is>
      </c>
      <c r="E163" s="60">
        <f>SaaS_Metrics!O28</f>
        <v/>
      </c>
      <c r="F163" s="60">
        <f>SaaS_Metrics!P28</f>
        <v/>
      </c>
      <c r="G163" s="60">
        <f>SaaS_Metrics!Q28</f>
        <v/>
      </c>
      <c r="H163" s="60">
        <f>SaaS_Metrics!R28</f>
        <v/>
      </c>
      <c r="I163" s="60">
        <f>SaaS_Metrics!S28</f>
        <v/>
      </c>
      <c r="J163" s="60">
        <f>SaaS_Metrics!T28</f>
        <v/>
      </c>
      <c r="K163" s="60">
        <f>SaaS_Metrics!U28</f>
        <v/>
      </c>
      <c r="L163" s="60">
        <f>SaaS_Metrics!V28</f>
        <v/>
      </c>
      <c r="M163" s="60">
        <f>SaaS_Metrics!W28</f>
        <v/>
      </c>
      <c r="N163" s="60">
        <f>SaaS_Metrics!X28</f>
        <v/>
      </c>
      <c r="O163" s="60">
        <f>SaaS_Metrics!Y28</f>
        <v/>
      </c>
      <c r="P163" s="60">
        <f>SaaS_Metrics!Z28</f>
        <v/>
      </c>
      <c r="Q163" s="60">
        <f>SaaS_Metrics!AA28</f>
        <v/>
      </c>
      <c r="R163" s="60">
        <f>SaaS_Metrics!AB28</f>
        <v/>
      </c>
      <c r="S163" s="60">
        <f>SaaS_Metrics!AC28</f>
        <v/>
      </c>
      <c r="T163" s="60">
        <f>SaaS_Metrics!AD28</f>
        <v/>
      </c>
      <c r="U163" s="60">
        <f>SaaS_Metrics!AE28</f>
        <v/>
      </c>
      <c r="V163" s="60">
        <f>SaaS_Metrics!AF28</f>
        <v/>
      </c>
      <c r="W163" s="60">
        <f>SaaS_Metrics!AG28</f>
        <v/>
      </c>
      <c r="X163" s="60">
        <f>SaaS_Metrics!AH28</f>
        <v/>
      </c>
      <c r="Y163" s="60">
        <f>SaaS_Metrics!AI28</f>
        <v/>
      </c>
      <c r="Z163" s="60">
        <f>SaaS_Metrics!AJ28</f>
        <v/>
      </c>
      <c r="AA163" s="60">
        <f>SaaS_Metrics!AK28</f>
        <v/>
      </c>
      <c r="AB163" s="60">
        <f>SaaS_Metrics!AL28</f>
        <v/>
      </c>
      <c r="AC163" s="60">
        <f>SaaS_Metrics!AN28</f>
        <v/>
      </c>
      <c r="AD163" s="60">
        <f>SaaS_Metrics!AO28</f>
        <v/>
      </c>
    </row>
    <row r="164">
      <c r="A164" s="5" t="inlineStr">
        <is>
          <t>out_sm_arpa</t>
        </is>
      </c>
      <c r="B164" s="5" t="inlineStr">
        <is>
          <t>SaaS_Metrics: ARR per customer</t>
        </is>
      </c>
      <c r="C164" s="2" t="inlineStr">
        <is>
          <t>GBP k</t>
        </is>
      </c>
      <c r="E164" s="15">
        <f>SaaS_Metrics!O29</f>
        <v/>
      </c>
      <c r="F164" s="15">
        <f>SaaS_Metrics!P29</f>
        <v/>
      </c>
      <c r="G164" s="15">
        <f>SaaS_Metrics!Q29</f>
        <v/>
      </c>
      <c r="H164" s="15">
        <f>SaaS_Metrics!R29</f>
        <v/>
      </c>
      <c r="I164" s="15">
        <f>SaaS_Metrics!S29</f>
        <v/>
      </c>
      <c r="J164" s="15">
        <f>SaaS_Metrics!T29</f>
        <v/>
      </c>
      <c r="K164" s="15">
        <f>SaaS_Metrics!U29</f>
        <v/>
      </c>
      <c r="L164" s="15">
        <f>SaaS_Metrics!V29</f>
        <v/>
      </c>
      <c r="M164" s="15">
        <f>SaaS_Metrics!W29</f>
        <v/>
      </c>
      <c r="N164" s="15">
        <f>SaaS_Metrics!X29</f>
        <v/>
      </c>
      <c r="O164" s="15">
        <f>SaaS_Metrics!Y29</f>
        <v/>
      </c>
      <c r="P164" s="15">
        <f>SaaS_Metrics!Z29</f>
        <v/>
      </c>
      <c r="Q164" s="15">
        <f>SaaS_Metrics!AA29</f>
        <v/>
      </c>
      <c r="R164" s="15">
        <f>SaaS_Metrics!AB29</f>
        <v/>
      </c>
      <c r="S164" s="15">
        <f>SaaS_Metrics!AC29</f>
        <v/>
      </c>
      <c r="T164" s="15">
        <f>SaaS_Metrics!AD29</f>
        <v/>
      </c>
      <c r="U164" s="15">
        <f>SaaS_Metrics!AE29</f>
        <v/>
      </c>
      <c r="V164" s="15">
        <f>SaaS_Metrics!AF29</f>
        <v/>
      </c>
      <c r="W164" s="15">
        <f>SaaS_Metrics!AG29</f>
        <v/>
      </c>
      <c r="X164" s="15">
        <f>SaaS_Metrics!AH29</f>
        <v/>
      </c>
      <c r="Y164" s="15">
        <f>SaaS_Metrics!AI29</f>
        <v/>
      </c>
      <c r="Z164" s="15">
        <f>SaaS_Metrics!AJ29</f>
        <v/>
      </c>
      <c r="AA164" s="15">
        <f>SaaS_Metrics!AK29</f>
        <v/>
      </c>
      <c r="AB164" s="15">
        <f>SaaS_Metrics!AL29</f>
        <v/>
      </c>
      <c r="AC164" s="15">
        <f>SaaS_Metrics!AN29</f>
        <v/>
      </c>
      <c r="AD164" s="15">
        <f>SaaS_Metrics!AO29</f>
        <v/>
      </c>
    </row>
    <row r="165">
      <c r="A165" s="5" t="inlineStr">
        <is>
          <t>out_sm_ltv</t>
        </is>
      </c>
      <c r="B165" s="5" t="inlineStr">
        <is>
          <t>SaaS_Metrics: Customer lifetime value (ARPA x GM / logo churn)</t>
        </is>
      </c>
      <c r="C165" s="2" t="inlineStr">
        <is>
          <t>GBP k</t>
        </is>
      </c>
      <c r="E165" s="19">
        <f>SaaS_Metrics!O30</f>
        <v/>
      </c>
      <c r="F165" s="19">
        <f>SaaS_Metrics!P30</f>
        <v/>
      </c>
      <c r="G165" s="19">
        <f>SaaS_Metrics!Q30</f>
        <v/>
      </c>
      <c r="H165" s="19">
        <f>SaaS_Metrics!R30</f>
        <v/>
      </c>
      <c r="I165" s="19">
        <f>SaaS_Metrics!S30</f>
        <v/>
      </c>
      <c r="J165" s="19">
        <f>SaaS_Metrics!T30</f>
        <v/>
      </c>
      <c r="K165" s="19">
        <f>SaaS_Metrics!U30</f>
        <v/>
      </c>
      <c r="L165" s="19">
        <f>SaaS_Metrics!V30</f>
        <v/>
      </c>
      <c r="M165" s="19">
        <f>SaaS_Metrics!W30</f>
        <v/>
      </c>
      <c r="N165" s="19">
        <f>SaaS_Metrics!X30</f>
        <v/>
      </c>
      <c r="O165" s="19">
        <f>SaaS_Metrics!Y30</f>
        <v/>
      </c>
      <c r="P165" s="19">
        <f>SaaS_Metrics!Z30</f>
        <v/>
      </c>
      <c r="Q165" s="19">
        <f>SaaS_Metrics!AA30</f>
        <v/>
      </c>
      <c r="R165" s="19">
        <f>SaaS_Metrics!AB30</f>
        <v/>
      </c>
      <c r="S165" s="19">
        <f>SaaS_Metrics!AC30</f>
        <v/>
      </c>
      <c r="T165" s="19">
        <f>SaaS_Metrics!AD30</f>
        <v/>
      </c>
      <c r="U165" s="19">
        <f>SaaS_Metrics!AE30</f>
        <v/>
      </c>
      <c r="V165" s="19">
        <f>SaaS_Metrics!AF30</f>
        <v/>
      </c>
      <c r="W165" s="19">
        <f>SaaS_Metrics!AG30</f>
        <v/>
      </c>
      <c r="X165" s="19">
        <f>SaaS_Metrics!AH30</f>
        <v/>
      </c>
      <c r="Y165" s="19">
        <f>SaaS_Metrics!AI30</f>
        <v/>
      </c>
      <c r="Z165" s="19">
        <f>SaaS_Metrics!AJ30</f>
        <v/>
      </c>
      <c r="AA165" s="19">
        <f>SaaS_Metrics!AK30</f>
        <v/>
      </c>
      <c r="AB165" s="19">
        <f>SaaS_Metrics!AL30</f>
        <v/>
      </c>
      <c r="AC165" s="19">
        <f>SaaS_Metrics!AN30</f>
        <v/>
      </c>
      <c r="AD165" s="19">
        <f>SaaS_Metrics!AO30</f>
        <v/>
      </c>
    </row>
    <row r="166">
      <c r="A166" s="5" t="inlineStr">
        <is>
          <t>out_sm_ltv_cac</t>
        </is>
      </c>
      <c r="B166" s="5" t="inlineStr">
        <is>
          <t>SaaS_Metrics: LTV / CAC</t>
        </is>
      </c>
      <c r="C166" s="2" t="inlineStr">
        <is>
          <t>x</t>
        </is>
      </c>
      <c r="E166" s="63">
        <f>SaaS_Metrics!O31</f>
        <v/>
      </c>
      <c r="F166" s="63">
        <f>SaaS_Metrics!P31</f>
        <v/>
      </c>
      <c r="G166" s="63">
        <f>SaaS_Metrics!Q31</f>
        <v/>
      </c>
      <c r="H166" s="63">
        <f>SaaS_Metrics!R31</f>
        <v/>
      </c>
      <c r="I166" s="63">
        <f>SaaS_Metrics!S31</f>
        <v/>
      </c>
      <c r="J166" s="63">
        <f>SaaS_Metrics!T31</f>
        <v/>
      </c>
      <c r="K166" s="63">
        <f>SaaS_Metrics!U31</f>
        <v/>
      </c>
      <c r="L166" s="63">
        <f>SaaS_Metrics!V31</f>
        <v/>
      </c>
      <c r="M166" s="63">
        <f>SaaS_Metrics!W31</f>
        <v/>
      </c>
      <c r="N166" s="63">
        <f>SaaS_Metrics!X31</f>
        <v/>
      </c>
      <c r="O166" s="63">
        <f>SaaS_Metrics!Y31</f>
        <v/>
      </c>
      <c r="P166" s="63">
        <f>SaaS_Metrics!Z31</f>
        <v/>
      </c>
      <c r="Q166" s="63">
        <f>SaaS_Metrics!AA31</f>
        <v/>
      </c>
      <c r="R166" s="63">
        <f>SaaS_Metrics!AB31</f>
        <v/>
      </c>
      <c r="S166" s="63">
        <f>SaaS_Metrics!AC31</f>
        <v/>
      </c>
      <c r="T166" s="63">
        <f>SaaS_Metrics!AD31</f>
        <v/>
      </c>
      <c r="U166" s="63">
        <f>SaaS_Metrics!AE31</f>
        <v/>
      </c>
      <c r="V166" s="63">
        <f>SaaS_Metrics!AF31</f>
        <v/>
      </c>
      <c r="W166" s="63">
        <f>SaaS_Metrics!AG31</f>
        <v/>
      </c>
      <c r="X166" s="63">
        <f>SaaS_Metrics!AH31</f>
        <v/>
      </c>
      <c r="Y166" s="63">
        <f>SaaS_Metrics!AI31</f>
        <v/>
      </c>
      <c r="Z166" s="63">
        <f>SaaS_Metrics!AJ31</f>
        <v/>
      </c>
      <c r="AA166" s="63">
        <f>SaaS_Metrics!AK31</f>
        <v/>
      </c>
      <c r="AB166" s="63">
        <f>SaaS_Metrics!AL31</f>
        <v/>
      </c>
      <c r="AC166" s="63">
        <f>SaaS_Metrics!AN31</f>
        <v/>
      </c>
      <c r="AD166" s="63">
        <f>SaaS_Metrics!AO31</f>
        <v/>
      </c>
    </row>
    <row r="167">
      <c r="A167" s="5" t="inlineStr">
        <is>
          <t>out_sm_magic</t>
        </is>
      </c>
      <c r="B167" s="5" t="inlineStr">
        <is>
          <t>SaaS_Metrics: Magic number (3m net new ARR / prior 3m S&amp;M)</t>
        </is>
      </c>
      <c r="C167" s="2" t="inlineStr">
        <is>
          <t>x</t>
        </is>
      </c>
      <c r="E167" s="77">
        <f>SaaS_Metrics!O32</f>
        <v/>
      </c>
      <c r="F167" s="77">
        <f>SaaS_Metrics!P32</f>
        <v/>
      </c>
      <c r="G167" s="77">
        <f>SaaS_Metrics!Q32</f>
        <v/>
      </c>
      <c r="H167" s="77">
        <f>SaaS_Metrics!R32</f>
        <v/>
      </c>
      <c r="I167" s="77">
        <f>SaaS_Metrics!S32</f>
        <v/>
      </c>
      <c r="J167" s="77">
        <f>SaaS_Metrics!T32</f>
        <v/>
      </c>
      <c r="K167" s="77">
        <f>SaaS_Metrics!U32</f>
        <v/>
      </c>
      <c r="L167" s="77">
        <f>SaaS_Metrics!V32</f>
        <v/>
      </c>
      <c r="M167" s="77">
        <f>SaaS_Metrics!W32</f>
        <v/>
      </c>
      <c r="N167" s="77">
        <f>SaaS_Metrics!X32</f>
        <v/>
      </c>
      <c r="O167" s="77">
        <f>SaaS_Metrics!Y32</f>
        <v/>
      </c>
      <c r="P167" s="77">
        <f>SaaS_Metrics!Z32</f>
        <v/>
      </c>
      <c r="Q167" s="77">
        <f>SaaS_Metrics!AA32</f>
        <v/>
      </c>
      <c r="R167" s="77">
        <f>SaaS_Metrics!AB32</f>
        <v/>
      </c>
      <c r="S167" s="77">
        <f>SaaS_Metrics!AC32</f>
        <v/>
      </c>
      <c r="T167" s="77">
        <f>SaaS_Metrics!AD32</f>
        <v/>
      </c>
      <c r="U167" s="77">
        <f>SaaS_Metrics!AE32</f>
        <v/>
      </c>
      <c r="V167" s="77">
        <f>SaaS_Metrics!AF32</f>
        <v/>
      </c>
      <c r="W167" s="77">
        <f>SaaS_Metrics!AG32</f>
        <v/>
      </c>
      <c r="X167" s="77">
        <f>SaaS_Metrics!AH32</f>
        <v/>
      </c>
      <c r="Y167" s="77">
        <f>SaaS_Metrics!AI32</f>
        <v/>
      </c>
      <c r="Z167" s="77">
        <f>SaaS_Metrics!AJ32</f>
        <v/>
      </c>
      <c r="AA167" s="77">
        <f>SaaS_Metrics!AK32</f>
        <v/>
      </c>
      <c r="AB167" s="77">
        <f>SaaS_Metrics!AL32</f>
        <v/>
      </c>
      <c r="AC167" s="77">
        <f>SaaS_Metrics!AN32</f>
        <v/>
      </c>
      <c r="AD167" s="77">
        <f>SaaS_Metrics!AO32</f>
        <v/>
      </c>
    </row>
    <row r="168">
      <c r="A168" s="5" t="inlineStr">
        <is>
          <t>out_sm_netburn</t>
        </is>
      </c>
      <c r="B168" s="5" t="inlineStr">
        <is>
          <t>SaaS_Metrics: Net burn (positive = cash consumed)</t>
        </is>
      </c>
      <c r="C168" s="2" t="inlineStr">
        <is>
          <t>GBP k</t>
        </is>
      </c>
      <c r="E168" s="19">
        <f>SaaS_Metrics!O35</f>
        <v/>
      </c>
      <c r="F168" s="19">
        <f>SaaS_Metrics!P35</f>
        <v/>
      </c>
      <c r="G168" s="19">
        <f>SaaS_Metrics!Q35</f>
        <v/>
      </c>
      <c r="H168" s="19">
        <f>SaaS_Metrics!R35</f>
        <v/>
      </c>
      <c r="I168" s="19">
        <f>SaaS_Metrics!S35</f>
        <v/>
      </c>
      <c r="J168" s="19">
        <f>SaaS_Metrics!T35</f>
        <v/>
      </c>
      <c r="K168" s="19">
        <f>SaaS_Metrics!U35</f>
        <v/>
      </c>
      <c r="L168" s="19">
        <f>SaaS_Metrics!V35</f>
        <v/>
      </c>
      <c r="M168" s="19">
        <f>SaaS_Metrics!W35</f>
        <v/>
      </c>
      <c r="N168" s="19">
        <f>SaaS_Metrics!X35</f>
        <v/>
      </c>
      <c r="O168" s="19">
        <f>SaaS_Metrics!Y35</f>
        <v/>
      </c>
      <c r="P168" s="19">
        <f>SaaS_Metrics!Z35</f>
        <v/>
      </c>
      <c r="Q168" s="19">
        <f>SaaS_Metrics!AA35</f>
        <v/>
      </c>
      <c r="R168" s="19">
        <f>SaaS_Metrics!AB35</f>
        <v/>
      </c>
      <c r="S168" s="19">
        <f>SaaS_Metrics!AC35</f>
        <v/>
      </c>
      <c r="T168" s="19">
        <f>SaaS_Metrics!AD35</f>
        <v/>
      </c>
      <c r="U168" s="19">
        <f>SaaS_Metrics!AE35</f>
        <v/>
      </c>
      <c r="V168" s="19">
        <f>SaaS_Metrics!AF35</f>
        <v/>
      </c>
      <c r="W168" s="19">
        <f>SaaS_Metrics!AG35</f>
        <v/>
      </c>
      <c r="X168" s="19">
        <f>SaaS_Metrics!AH35</f>
        <v/>
      </c>
      <c r="Y168" s="19">
        <f>SaaS_Metrics!AI35</f>
        <v/>
      </c>
      <c r="Z168" s="19">
        <f>SaaS_Metrics!AJ35</f>
        <v/>
      </c>
      <c r="AA168" s="19">
        <f>SaaS_Metrics!AK35</f>
        <v/>
      </c>
      <c r="AB168" s="19">
        <f>SaaS_Metrics!AL35</f>
        <v/>
      </c>
      <c r="AC168" s="19">
        <f>SaaS_Metrics!AN35</f>
        <v/>
      </c>
      <c r="AD168" s="19">
        <f>SaaS_Metrics!AO35</f>
        <v/>
      </c>
    </row>
    <row r="169">
      <c r="A169" s="5" t="inlineStr">
        <is>
          <t>out_sm_burn_mult</t>
        </is>
      </c>
      <c r="B169" s="5" t="inlineStr">
        <is>
          <t>SaaS_Metrics: Burn multiple (net burn / net new ARR)</t>
        </is>
      </c>
      <c r="C169" s="2" t="inlineStr">
        <is>
          <t>x</t>
        </is>
      </c>
      <c r="E169" s="63">
        <f>SaaS_Metrics!O36</f>
        <v/>
      </c>
      <c r="F169" s="63">
        <f>SaaS_Metrics!P36</f>
        <v/>
      </c>
      <c r="G169" s="63">
        <f>SaaS_Metrics!Q36</f>
        <v/>
      </c>
      <c r="H169" s="63">
        <f>SaaS_Metrics!R36</f>
        <v/>
      </c>
      <c r="I169" s="63">
        <f>SaaS_Metrics!S36</f>
        <v/>
      </c>
      <c r="J169" s="63">
        <f>SaaS_Metrics!T36</f>
        <v/>
      </c>
      <c r="K169" s="63">
        <f>SaaS_Metrics!U36</f>
        <v/>
      </c>
      <c r="L169" s="63">
        <f>SaaS_Metrics!V36</f>
        <v/>
      </c>
      <c r="M169" s="63">
        <f>SaaS_Metrics!W36</f>
        <v/>
      </c>
      <c r="N169" s="63">
        <f>SaaS_Metrics!X36</f>
        <v/>
      </c>
      <c r="O169" s="63">
        <f>SaaS_Metrics!Y36</f>
        <v/>
      </c>
      <c r="P169" s="63">
        <f>SaaS_Metrics!Z36</f>
        <v/>
      </c>
      <c r="Q169" s="63">
        <f>SaaS_Metrics!AA36</f>
        <v/>
      </c>
      <c r="R169" s="63">
        <f>SaaS_Metrics!AB36</f>
        <v/>
      </c>
      <c r="S169" s="63">
        <f>SaaS_Metrics!AC36</f>
        <v/>
      </c>
      <c r="T169" s="63">
        <f>SaaS_Metrics!AD36</f>
        <v/>
      </c>
      <c r="U169" s="63">
        <f>SaaS_Metrics!AE36</f>
        <v/>
      </c>
      <c r="V169" s="63">
        <f>SaaS_Metrics!AF36</f>
        <v/>
      </c>
      <c r="W169" s="63">
        <f>SaaS_Metrics!AG36</f>
        <v/>
      </c>
      <c r="X169" s="63">
        <f>SaaS_Metrics!AH36</f>
        <v/>
      </c>
      <c r="Y169" s="63">
        <f>SaaS_Metrics!AI36</f>
        <v/>
      </c>
      <c r="Z169" s="63">
        <f>SaaS_Metrics!AJ36</f>
        <v/>
      </c>
      <c r="AA169" s="63">
        <f>SaaS_Metrics!AK36</f>
        <v/>
      </c>
      <c r="AB169" s="63">
        <f>SaaS_Metrics!AL36</f>
        <v/>
      </c>
      <c r="AC169" s="63">
        <f>SaaS_Metrics!AN36</f>
        <v/>
      </c>
      <c r="AD169" s="63">
        <f>SaaS_Metrics!AO36</f>
        <v/>
      </c>
    </row>
    <row r="170">
      <c r="A170" s="5" t="inlineStr">
        <is>
          <t>out_sm_runway</t>
        </is>
      </c>
      <c r="B170" s="5" t="inlineStr">
        <is>
          <t>SaaS_Metrics: Cash runway (months at trailing 3m average burn)</t>
        </is>
      </c>
      <c r="C170" s="2" t="inlineStr">
        <is>
          <t>months</t>
        </is>
      </c>
      <c r="E170" s="60">
        <f>SaaS_Metrics!O38</f>
        <v/>
      </c>
      <c r="F170" s="60">
        <f>SaaS_Metrics!P38</f>
        <v/>
      </c>
      <c r="G170" s="60">
        <f>SaaS_Metrics!Q38</f>
        <v/>
      </c>
      <c r="H170" s="60">
        <f>SaaS_Metrics!R38</f>
        <v/>
      </c>
      <c r="I170" s="60">
        <f>SaaS_Metrics!S38</f>
        <v/>
      </c>
      <c r="J170" s="60">
        <f>SaaS_Metrics!T38</f>
        <v/>
      </c>
      <c r="K170" s="60">
        <f>SaaS_Metrics!U38</f>
        <v/>
      </c>
      <c r="L170" s="60">
        <f>SaaS_Metrics!V38</f>
        <v/>
      </c>
      <c r="M170" s="60">
        <f>SaaS_Metrics!W38</f>
        <v/>
      </c>
      <c r="N170" s="60">
        <f>SaaS_Metrics!X38</f>
        <v/>
      </c>
      <c r="O170" s="60">
        <f>SaaS_Metrics!Y38</f>
        <v/>
      </c>
      <c r="P170" s="60">
        <f>SaaS_Metrics!Z38</f>
        <v/>
      </c>
      <c r="Q170" s="60">
        <f>SaaS_Metrics!AA38</f>
        <v/>
      </c>
      <c r="R170" s="60">
        <f>SaaS_Metrics!AB38</f>
        <v/>
      </c>
      <c r="S170" s="60">
        <f>SaaS_Metrics!AC38</f>
        <v/>
      </c>
      <c r="T170" s="60">
        <f>SaaS_Metrics!AD38</f>
        <v/>
      </c>
      <c r="U170" s="60">
        <f>SaaS_Metrics!AE38</f>
        <v/>
      </c>
      <c r="V170" s="60">
        <f>SaaS_Metrics!AF38</f>
        <v/>
      </c>
      <c r="W170" s="60">
        <f>SaaS_Metrics!AG38</f>
        <v/>
      </c>
      <c r="X170" s="60">
        <f>SaaS_Metrics!AH38</f>
        <v/>
      </c>
      <c r="Y170" s="60">
        <f>SaaS_Metrics!AI38</f>
        <v/>
      </c>
      <c r="Z170" s="60">
        <f>SaaS_Metrics!AJ38</f>
        <v/>
      </c>
      <c r="AA170" s="60">
        <f>SaaS_Metrics!AK38</f>
        <v/>
      </c>
      <c r="AB170" s="60">
        <f>SaaS_Metrics!AL38</f>
        <v/>
      </c>
      <c r="AC170" s="60">
        <f>SaaS_Metrics!AN38</f>
        <v/>
      </c>
      <c r="AD170" s="60">
        <f>SaaS_Metrics!AO38</f>
        <v/>
      </c>
    </row>
    <row r="171">
      <c r="A171" s="5" t="inlineStr">
        <is>
          <t>out_sm_rule40</t>
        </is>
      </c>
      <c r="B171" s="5" t="inlineStr">
        <is>
          <t>SaaS_Metrics: Rule of 40 (ARR growth + EBITDA margin)</t>
        </is>
      </c>
      <c r="C171" s="2" t="inlineStr">
        <is>
          <t>%</t>
        </is>
      </c>
      <c r="E171" s="17">
        <f>SaaS_Metrics!O39</f>
        <v/>
      </c>
      <c r="F171" s="17">
        <f>SaaS_Metrics!P39</f>
        <v/>
      </c>
      <c r="G171" s="17">
        <f>SaaS_Metrics!Q39</f>
        <v/>
      </c>
      <c r="H171" s="17">
        <f>SaaS_Metrics!R39</f>
        <v/>
      </c>
      <c r="I171" s="17">
        <f>SaaS_Metrics!S39</f>
        <v/>
      </c>
      <c r="J171" s="17">
        <f>SaaS_Metrics!T39</f>
        <v/>
      </c>
      <c r="K171" s="17">
        <f>SaaS_Metrics!U39</f>
        <v/>
      </c>
      <c r="L171" s="17">
        <f>SaaS_Metrics!V39</f>
        <v/>
      </c>
      <c r="M171" s="17">
        <f>SaaS_Metrics!W39</f>
        <v/>
      </c>
      <c r="N171" s="17">
        <f>SaaS_Metrics!X39</f>
        <v/>
      </c>
      <c r="O171" s="17">
        <f>SaaS_Metrics!Y39</f>
        <v/>
      </c>
      <c r="P171" s="17">
        <f>SaaS_Metrics!Z39</f>
        <v/>
      </c>
      <c r="Q171" s="17">
        <f>SaaS_Metrics!AA39</f>
        <v/>
      </c>
      <c r="R171" s="17">
        <f>SaaS_Metrics!AB39</f>
        <v/>
      </c>
      <c r="S171" s="17">
        <f>SaaS_Metrics!AC39</f>
        <v/>
      </c>
      <c r="T171" s="17">
        <f>SaaS_Metrics!AD39</f>
        <v/>
      </c>
      <c r="U171" s="17">
        <f>SaaS_Metrics!AE39</f>
        <v/>
      </c>
      <c r="V171" s="17">
        <f>SaaS_Metrics!AF39</f>
        <v/>
      </c>
      <c r="W171" s="17">
        <f>SaaS_Metrics!AG39</f>
        <v/>
      </c>
      <c r="X171" s="17">
        <f>SaaS_Metrics!AH39</f>
        <v/>
      </c>
      <c r="Y171" s="17">
        <f>SaaS_Metrics!AI39</f>
        <v/>
      </c>
      <c r="Z171" s="17">
        <f>SaaS_Metrics!AJ39</f>
        <v/>
      </c>
      <c r="AA171" s="17">
        <f>SaaS_Metrics!AK39</f>
        <v/>
      </c>
      <c r="AB171" s="17">
        <f>SaaS_Metrics!AL39</f>
        <v/>
      </c>
      <c r="AC171" s="17">
        <f>SaaS_Metrics!AN39</f>
        <v/>
      </c>
      <c r="AD171" s="17">
        <f>SaaS_Metrics!AO39</f>
        <v/>
      </c>
    </row>
    <row r="172">
      <c r="A172" s="5" t="inlineStr">
        <is>
          <t>out_sm_arr_fte</t>
        </is>
      </c>
      <c r="B172" s="5" t="inlineStr">
        <is>
          <t>SaaS_Metrics: ARR per FTE</t>
        </is>
      </c>
      <c r="C172" s="2" t="inlineStr">
        <is>
          <t>GBP k</t>
        </is>
      </c>
      <c r="E172" s="19">
        <f>SaaS_Metrics!O40</f>
        <v/>
      </c>
      <c r="F172" s="19">
        <f>SaaS_Metrics!P40</f>
        <v/>
      </c>
      <c r="G172" s="19">
        <f>SaaS_Metrics!Q40</f>
        <v/>
      </c>
      <c r="H172" s="19">
        <f>SaaS_Metrics!R40</f>
        <v/>
      </c>
      <c r="I172" s="19">
        <f>SaaS_Metrics!S40</f>
        <v/>
      </c>
      <c r="J172" s="19">
        <f>SaaS_Metrics!T40</f>
        <v/>
      </c>
      <c r="K172" s="19">
        <f>SaaS_Metrics!U40</f>
        <v/>
      </c>
      <c r="L172" s="19">
        <f>SaaS_Metrics!V40</f>
        <v/>
      </c>
      <c r="M172" s="19">
        <f>SaaS_Metrics!W40</f>
        <v/>
      </c>
      <c r="N172" s="19">
        <f>SaaS_Metrics!X40</f>
        <v/>
      </c>
      <c r="O172" s="19">
        <f>SaaS_Metrics!Y40</f>
        <v/>
      </c>
      <c r="P172" s="19">
        <f>SaaS_Metrics!Z40</f>
        <v/>
      </c>
      <c r="Q172" s="19">
        <f>SaaS_Metrics!AA40</f>
        <v/>
      </c>
      <c r="R172" s="19">
        <f>SaaS_Metrics!AB40</f>
        <v/>
      </c>
      <c r="S172" s="19">
        <f>SaaS_Metrics!AC40</f>
        <v/>
      </c>
      <c r="T172" s="19">
        <f>SaaS_Metrics!AD40</f>
        <v/>
      </c>
      <c r="U172" s="19">
        <f>SaaS_Metrics!AE40</f>
        <v/>
      </c>
      <c r="V172" s="19">
        <f>SaaS_Metrics!AF40</f>
        <v/>
      </c>
      <c r="W172" s="19">
        <f>SaaS_Metrics!AG40</f>
        <v/>
      </c>
      <c r="X172" s="19">
        <f>SaaS_Metrics!AH40</f>
        <v/>
      </c>
      <c r="Y172" s="19">
        <f>SaaS_Metrics!AI40</f>
        <v/>
      </c>
      <c r="Z172" s="19">
        <f>SaaS_Metrics!AJ40</f>
        <v/>
      </c>
      <c r="AA172" s="19">
        <f>SaaS_Metrics!AK40</f>
        <v/>
      </c>
      <c r="AB172" s="19">
        <f>SaaS_Metrics!AL40</f>
        <v/>
      </c>
      <c r="AC172" s="19">
        <f>SaaS_Metrics!AN40</f>
        <v/>
      </c>
      <c r="AD172" s="19">
        <f>SaaS_Metrics!AO40</f>
        <v/>
      </c>
    </row>
    <row r="173">
      <c r="A173" s="5" t="inlineStr">
        <is>
          <t>out_mt_arr_close</t>
        </is>
      </c>
      <c r="B173" s="5" t="inlineStr">
        <is>
          <t>MA_Target: Closing ARR</t>
        </is>
      </c>
      <c r="C173" s="2" t="inlineStr">
        <is>
          <t>GBP k</t>
        </is>
      </c>
      <c r="D173" s="19">
        <f>MA_Target!N17</f>
        <v/>
      </c>
      <c r="E173" s="19">
        <f>MA_Target!O17</f>
        <v/>
      </c>
      <c r="F173" s="19">
        <f>MA_Target!P17</f>
        <v/>
      </c>
      <c r="G173" s="19">
        <f>MA_Target!Q17</f>
        <v/>
      </c>
      <c r="H173" s="19">
        <f>MA_Target!R17</f>
        <v/>
      </c>
      <c r="I173" s="19">
        <f>MA_Target!S17</f>
        <v/>
      </c>
      <c r="J173" s="19">
        <f>MA_Target!T17</f>
        <v/>
      </c>
      <c r="K173" s="19">
        <f>MA_Target!U17</f>
        <v/>
      </c>
      <c r="L173" s="19">
        <f>MA_Target!V17</f>
        <v/>
      </c>
      <c r="M173" s="19">
        <f>MA_Target!W17</f>
        <v/>
      </c>
      <c r="N173" s="19">
        <f>MA_Target!X17</f>
        <v/>
      </c>
      <c r="O173" s="19">
        <f>MA_Target!Y17</f>
        <v/>
      </c>
      <c r="P173" s="19">
        <f>MA_Target!Z17</f>
        <v/>
      </c>
      <c r="Q173" s="19">
        <f>MA_Target!AA17</f>
        <v/>
      </c>
      <c r="R173" s="19">
        <f>MA_Target!AB17</f>
        <v/>
      </c>
      <c r="S173" s="19">
        <f>MA_Target!AC17</f>
        <v/>
      </c>
      <c r="T173" s="19">
        <f>MA_Target!AD17</f>
        <v/>
      </c>
      <c r="U173" s="19">
        <f>MA_Target!AE17</f>
        <v/>
      </c>
      <c r="V173" s="19">
        <f>MA_Target!AF17</f>
        <v/>
      </c>
      <c r="W173" s="19">
        <f>MA_Target!AG17</f>
        <v/>
      </c>
      <c r="X173" s="19">
        <f>MA_Target!AH17</f>
        <v/>
      </c>
      <c r="Y173" s="19">
        <f>MA_Target!AI17</f>
        <v/>
      </c>
      <c r="Z173" s="19">
        <f>MA_Target!AJ17</f>
        <v/>
      </c>
      <c r="AA173" s="19">
        <f>MA_Target!AK17</f>
        <v/>
      </c>
      <c r="AB173" s="19">
        <f>MA_Target!AL17</f>
        <v/>
      </c>
      <c r="AC173" s="19">
        <f>MA_Target!AN17</f>
        <v/>
      </c>
      <c r="AD173" s="19">
        <f>MA_Target!AO17</f>
        <v/>
      </c>
    </row>
    <row r="174">
      <c r="A174" s="5" t="inlineStr">
        <is>
          <t>out_mt_rev</t>
        </is>
      </c>
      <c r="B174" s="5" t="inlineStr">
        <is>
          <t>MA_Target: Revenue (each invoice over 12 months)</t>
        </is>
      </c>
      <c r="C174" s="2" t="inlineStr">
        <is>
          <t>GBP k</t>
        </is>
      </c>
      <c r="E174" s="19">
        <f>MA_Target!O23</f>
        <v/>
      </c>
      <c r="F174" s="19">
        <f>MA_Target!P23</f>
        <v/>
      </c>
      <c r="G174" s="19">
        <f>MA_Target!Q23</f>
        <v/>
      </c>
      <c r="H174" s="19">
        <f>MA_Target!R23</f>
        <v/>
      </c>
      <c r="I174" s="19">
        <f>MA_Target!S23</f>
        <v/>
      </c>
      <c r="J174" s="19">
        <f>MA_Target!T23</f>
        <v/>
      </c>
      <c r="K174" s="19">
        <f>MA_Target!U23</f>
        <v/>
      </c>
      <c r="L174" s="19">
        <f>MA_Target!V23</f>
        <v/>
      </c>
      <c r="M174" s="19">
        <f>MA_Target!W23</f>
        <v/>
      </c>
      <c r="N174" s="19">
        <f>MA_Target!X23</f>
        <v/>
      </c>
      <c r="O174" s="19">
        <f>MA_Target!Y23</f>
        <v/>
      </c>
      <c r="P174" s="19">
        <f>MA_Target!Z23</f>
        <v/>
      </c>
      <c r="Q174" s="19">
        <f>MA_Target!AA23</f>
        <v/>
      </c>
      <c r="R174" s="19">
        <f>MA_Target!AB23</f>
        <v/>
      </c>
      <c r="S174" s="19">
        <f>MA_Target!AC23</f>
        <v/>
      </c>
      <c r="T174" s="19">
        <f>MA_Target!AD23</f>
        <v/>
      </c>
      <c r="U174" s="19">
        <f>MA_Target!AE23</f>
        <v/>
      </c>
      <c r="V174" s="19">
        <f>MA_Target!AF23</f>
        <v/>
      </c>
      <c r="W174" s="19">
        <f>MA_Target!AG23</f>
        <v/>
      </c>
      <c r="X174" s="19">
        <f>MA_Target!AH23</f>
        <v/>
      </c>
      <c r="Y174" s="19">
        <f>MA_Target!AI23</f>
        <v/>
      </c>
      <c r="Z174" s="19">
        <f>MA_Target!AJ23</f>
        <v/>
      </c>
      <c r="AA174" s="19">
        <f>MA_Target!AK23</f>
        <v/>
      </c>
      <c r="AB174" s="19">
        <f>MA_Target!AL23</f>
        <v/>
      </c>
      <c r="AC174" s="19">
        <f>MA_Target!AN23</f>
        <v/>
      </c>
      <c r="AD174" s="19">
        <f>MA_Target!AO23</f>
        <v/>
      </c>
    </row>
    <row r="175">
      <c r="A175" s="5" t="inlineStr">
        <is>
          <t>out_mt_ebitda</t>
        </is>
      </c>
      <c r="B175" s="5" t="inlineStr">
        <is>
          <t>MA_Target: EBITDA</t>
        </is>
      </c>
      <c r="C175" s="2" t="inlineStr">
        <is>
          <t>GBP k</t>
        </is>
      </c>
      <c r="E175" s="19">
        <f>MA_Target!O36</f>
        <v/>
      </c>
      <c r="F175" s="19">
        <f>MA_Target!P36</f>
        <v/>
      </c>
      <c r="G175" s="19">
        <f>MA_Target!Q36</f>
        <v/>
      </c>
      <c r="H175" s="19">
        <f>MA_Target!R36</f>
        <v/>
      </c>
      <c r="I175" s="19">
        <f>MA_Target!S36</f>
        <v/>
      </c>
      <c r="J175" s="19">
        <f>MA_Target!T36</f>
        <v/>
      </c>
      <c r="K175" s="19">
        <f>MA_Target!U36</f>
        <v/>
      </c>
      <c r="L175" s="19">
        <f>MA_Target!V36</f>
        <v/>
      </c>
      <c r="M175" s="19">
        <f>MA_Target!W36</f>
        <v/>
      </c>
      <c r="N175" s="19">
        <f>MA_Target!X36</f>
        <v/>
      </c>
      <c r="O175" s="19">
        <f>MA_Target!Y36</f>
        <v/>
      </c>
      <c r="P175" s="19">
        <f>MA_Target!Z36</f>
        <v/>
      </c>
      <c r="Q175" s="19">
        <f>MA_Target!AA36</f>
        <v/>
      </c>
      <c r="R175" s="19">
        <f>MA_Target!AB36</f>
        <v/>
      </c>
      <c r="S175" s="19">
        <f>MA_Target!AC36</f>
        <v/>
      </c>
      <c r="T175" s="19">
        <f>MA_Target!AD36</f>
        <v/>
      </c>
      <c r="U175" s="19">
        <f>MA_Target!AE36</f>
        <v/>
      </c>
      <c r="V175" s="19">
        <f>MA_Target!AF36</f>
        <v/>
      </c>
      <c r="W175" s="19">
        <f>MA_Target!AG36</f>
        <v/>
      </c>
      <c r="X175" s="19">
        <f>MA_Target!AH36</f>
        <v/>
      </c>
      <c r="Y175" s="19">
        <f>MA_Target!AI36</f>
        <v/>
      </c>
      <c r="Z175" s="19">
        <f>MA_Target!AJ36</f>
        <v/>
      </c>
      <c r="AA175" s="19">
        <f>MA_Target!AK36</f>
        <v/>
      </c>
      <c r="AB175" s="19">
        <f>MA_Target!AL36</f>
        <v/>
      </c>
      <c r="AC175" s="19">
        <f>MA_Target!AN36</f>
        <v/>
      </c>
      <c r="AD175" s="19">
        <f>MA_Target!AO36</f>
        <v/>
      </c>
    </row>
    <row r="176">
      <c r="A176" s="5" t="inlineStr">
        <is>
          <t>out_mt_ni</t>
        </is>
      </c>
      <c r="B176" s="5" t="inlineStr">
        <is>
          <t>MA_Target: Net income</t>
        </is>
      </c>
      <c r="C176" s="2" t="inlineStr">
        <is>
          <t>GBP k</t>
        </is>
      </c>
      <c r="E176" s="19">
        <f>MA_Target!O42</f>
        <v/>
      </c>
      <c r="F176" s="19">
        <f>MA_Target!P42</f>
        <v/>
      </c>
      <c r="G176" s="19">
        <f>MA_Target!Q42</f>
        <v/>
      </c>
      <c r="H176" s="19">
        <f>MA_Target!R42</f>
        <v/>
      </c>
      <c r="I176" s="19">
        <f>MA_Target!S42</f>
        <v/>
      </c>
      <c r="J176" s="19">
        <f>MA_Target!T42</f>
        <v/>
      </c>
      <c r="K176" s="19">
        <f>MA_Target!U42</f>
        <v/>
      </c>
      <c r="L176" s="19">
        <f>MA_Target!V42</f>
        <v/>
      </c>
      <c r="M176" s="19">
        <f>MA_Target!W42</f>
        <v/>
      </c>
      <c r="N176" s="19">
        <f>MA_Target!X42</f>
        <v/>
      </c>
      <c r="O176" s="19">
        <f>MA_Target!Y42</f>
        <v/>
      </c>
      <c r="P176" s="19">
        <f>MA_Target!Z42</f>
        <v/>
      </c>
      <c r="Q176" s="19">
        <f>MA_Target!AA42</f>
        <v/>
      </c>
      <c r="R176" s="19">
        <f>MA_Target!AB42</f>
        <v/>
      </c>
      <c r="S176" s="19">
        <f>MA_Target!AC42</f>
        <v/>
      </c>
      <c r="T176" s="19">
        <f>MA_Target!AD42</f>
        <v/>
      </c>
      <c r="U176" s="19">
        <f>MA_Target!AE42</f>
        <v/>
      </c>
      <c r="V176" s="19">
        <f>MA_Target!AF42</f>
        <v/>
      </c>
      <c r="W176" s="19">
        <f>MA_Target!AG42</f>
        <v/>
      </c>
      <c r="X176" s="19">
        <f>MA_Target!AH42</f>
        <v/>
      </c>
      <c r="Y176" s="19">
        <f>MA_Target!AI42</f>
        <v/>
      </c>
      <c r="Z176" s="19">
        <f>MA_Target!AJ42</f>
        <v/>
      </c>
      <c r="AA176" s="19">
        <f>MA_Target!AK42</f>
        <v/>
      </c>
      <c r="AB176" s="19">
        <f>MA_Target!AL42</f>
        <v/>
      </c>
      <c r="AC176" s="19">
        <f>MA_Target!AN42</f>
        <v/>
      </c>
      <c r="AD176" s="19">
        <f>MA_Target!AO42</f>
        <v/>
      </c>
    </row>
    <row r="177">
      <c r="A177" s="5" t="inlineStr">
        <is>
          <t>out_mt_cash_close</t>
        </is>
      </c>
      <c r="B177" s="5" t="inlineStr">
        <is>
          <t>MA_Target: Closing cash</t>
        </is>
      </c>
      <c r="C177" s="2" t="inlineStr">
        <is>
          <t>GBP k</t>
        </is>
      </c>
      <c r="D177" s="19">
        <f>MA_Target!N68</f>
        <v/>
      </c>
      <c r="E177" s="19">
        <f>MA_Target!O68</f>
        <v/>
      </c>
      <c r="F177" s="19">
        <f>MA_Target!P68</f>
        <v/>
      </c>
      <c r="G177" s="19">
        <f>MA_Target!Q68</f>
        <v/>
      </c>
      <c r="H177" s="19">
        <f>MA_Target!R68</f>
        <v/>
      </c>
      <c r="I177" s="19">
        <f>MA_Target!S68</f>
        <v/>
      </c>
      <c r="J177" s="19">
        <f>MA_Target!T68</f>
        <v/>
      </c>
      <c r="K177" s="19">
        <f>MA_Target!U68</f>
        <v/>
      </c>
      <c r="L177" s="19">
        <f>MA_Target!V68</f>
        <v/>
      </c>
      <c r="M177" s="19">
        <f>MA_Target!W68</f>
        <v/>
      </c>
      <c r="N177" s="19">
        <f>MA_Target!X68</f>
        <v/>
      </c>
      <c r="O177" s="19">
        <f>MA_Target!Y68</f>
        <v/>
      </c>
      <c r="P177" s="19">
        <f>MA_Target!Z68</f>
        <v/>
      </c>
      <c r="Q177" s="19">
        <f>MA_Target!AA68</f>
        <v/>
      </c>
      <c r="R177" s="19">
        <f>MA_Target!AB68</f>
        <v/>
      </c>
      <c r="S177" s="19">
        <f>MA_Target!AC68</f>
        <v/>
      </c>
      <c r="T177" s="19">
        <f>MA_Target!AD68</f>
        <v/>
      </c>
      <c r="U177" s="19">
        <f>MA_Target!AE68</f>
        <v/>
      </c>
      <c r="V177" s="19">
        <f>MA_Target!AF68</f>
        <v/>
      </c>
      <c r="W177" s="19">
        <f>MA_Target!AG68</f>
        <v/>
      </c>
      <c r="X177" s="19">
        <f>MA_Target!AH68</f>
        <v/>
      </c>
      <c r="Y177" s="19">
        <f>MA_Target!AI68</f>
        <v/>
      </c>
      <c r="Z177" s="19">
        <f>MA_Target!AJ68</f>
        <v/>
      </c>
      <c r="AA177" s="19">
        <f>MA_Target!AK68</f>
        <v/>
      </c>
      <c r="AB177" s="19">
        <f>MA_Target!AL68</f>
        <v/>
      </c>
      <c r="AC177" s="19">
        <f>MA_Target!AN68</f>
        <v/>
      </c>
      <c r="AD177" s="19">
        <f>MA_Target!AO68</f>
        <v/>
      </c>
    </row>
    <row r="178">
      <c r="A178" s="5" t="inlineStr">
        <is>
          <t>out_mt_ufcf</t>
        </is>
      </c>
      <c r="B178" s="5" t="inlineStr">
        <is>
          <t>MA_Target: Unlevered free cash flow (EBITDA - tax - capex + working capital)</t>
        </is>
      </c>
      <c r="C178" s="2" t="inlineStr">
        <is>
          <t>GBP k</t>
        </is>
      </c>
      <c r="E178" s="19">
        <f>MA_Target!O69</f>
        <v/>
      </c>
      <c r="F178" s="19">
        <f>MA_Target!P69</f>
        <v/>
      </c>
      <c r="G178" s="19">
        <f>MA_Target!Q69</f>
        <v/>
      </c>
      <c r="H178" s="19">
        <f>MA_Target!R69</f>
        <v/>
      </c>
      <c r="I178" s="19">
        <f>MA_Target!S69</f>
        <v/>
      </c>
      <c r="J178" s="19">
        <f>MA_Target!T69</f>
        <v/>
      </c>
      <c r="K178" s="19">
        <f>MA_Target!U69</f>
        <v/>
      </c>
      <c r="L178" s="19">
        <f>MA_Target!V69</f>
        <v/>
      </c>
      <c r="M178" s="19">
        <f>MA_Target!W69</f>
        <v/>
      </c>
      <c r="N178" s="19">
        <f>MA_Target!X69</f>
        <v/>
      </c>
      <c r="O178" s="19">
        <f>MA_Target!Y69</f>
        <v/>
      </c>
      <c r="P178" s="19">
        <f>MA_Target!Z69</f>
        <v/>
      </c>
      <c r="Q178" s="19">
        <f>MA_Target!AA69</f>
        <v/>
      </c>
      <c r="R178" s="19">
        <f>MA_Target!AB69</f>
        <v/>
      </c>
      <c r="S178" s="19">
        <f>MA_Target!AC69</f>
        <v/>
      </c>
      <c r="T178" s="19">
        <f>MA_Target!AD69</f>
        <v/>
      </c>
      <c r="U178" s="19">
        <f>MA_Target!AE69</f>
        <v/>
      </c>
      <c r="V178" s="19">
        <f>MA_Target!AF69</f>
        <v/>
      </c>
      <c r="W178" s="19">
        <f>MA_Target!AG69</f>
        <v/>
      </c>
      <c r="X178" s="19">
        <f>MA_Target!AH69</f>
        <v/>
      </c>
      <c r="Y178" s="19">
        <f>MA_Target!AI69</f>
        <v/>
      </c>
      <c r="Z178" s="19">
        <f>MA_Target!AJ69</f>
        <v/>
      </c>
      <c r="AA178" s="19">
        <f>MA_Target!AK69</f>
        <v/>
      </c>
      <c r="AB178" s="19">
        <f>MA_Target!AL69</f>
        <v/>
      </c>
      <c r="AC178" s="19">
        <f>MA_Target!AN69</f>
        <v/>
      </c>
      <c r="AD178" s="19">
        <f>MA_Target!AO69</f>
        <v/>
      </c>
    </row>
    <row r="179">
      <c r="A179" s="5" t="inlineStr">
        <is>
          <t>out_pf_pf_rev</t>
        </is>
      </c>
      <c r="B179" s="5" t="inlineStr">
        <is>
          <t>MA_ProForma: Pro-forma revenue</t>
        </is>
      </c>
      <c r="C179" s="2" t="inlineStr">
        <is>
          <t>GBP k</t>
        </is>
      </c>
      <c r="E179" s="19">
        <f>MA_ProForma!O69</f>
        <v/>
      </c>
      <c r="F179" s="19">
        <f>MA_ProForma!P69</f>
        <v/>
      </c>
      <c r="G179" s="19">
        <f>MA_ProForma!Q69</f>
        <v/>
      </c>
      <c r="H179" s="19">
        <f>MA_ProForma!R69</f>
        <v/>
      </c>
      <c r="I179" s="19">
        <f>MA_ProForma!S69</f>
        <v/>
      </c>
      <c r="J179" s="19">
        <f>MA_ProForma!T69</f>
        <v/>
      </c>
      <c r="K179" s="19">
        <f>MA_ProForma!U69</f>
        <v/>
      </c>
      <c r="L179" s="19">
        <f>MA_ProForma!V69</f>
        <v/>
      </c>
      <c r="M179" s="19">
        <f>MA_ProForma!W69</f>
        <v/>
      </c>
      <c r="N179" s="19">
        <f>MA_ProForma!X69</f>
        <v/>
      </c>
      <c r="O179" s="19">
        <f>MA_ProForma!Y69</f>
        <v/>
      </c>
      <c r="P179" s="19">
        <f>MA_ProForma!Z69</f>
        <v/>
      </c>
      <c r="Q179" s="19">
        <f>MA_ProForma!AA69</f>
        <v/>
      </c>
      <c r="R179" s="19">
        <f>MA_ProForma!AB69</f>
        <v/>
      </c>
      <c r="S179" s="19">
        <f>MA_ProForma!AC69</f>
        <v/>
      </c>
      <c r="T179" s="19">
        <f>MA_ProForma!AD69</f>
        <v/>
      </c>
      <c r="U179" s="19">
        <f>MA_ProForma!AE69</f>
        <v/>
      </c>
      <c r="V179" s="19">
        <f>MA_ProForma!AF69</f>
        <v/>
      </c>
      <c r="W179" s="19">
        <f>MA_ProForma!AG69</f>
        <v/>
      </c>
      <c r="X179" s="19">
        <f>MA_ProForma!AH69</f>
        <v/>
      </c>
      <c r="Y179" s="19">
        <f>MA_ProForma!AI69</f>
        <v/>
      </c>
      <c r="Z179" s="19">
        <f>MA_ProForma!AJ69</f>
        <v/>
      </c>
      <c r="AA179" s="19">
        <f>MA_ProForma!AK69</f>
        <v/>
      </c>
      <c r="AB179" s="19">
        <f>MA_ProForma!AL69</f>
        <v/>
      </c>
      <c r="AC179" s="19">
        <f>MA_ProForma!AN69</f>
        <v/>
      </c>
      <c r="AD179" s="19">
        <f>MA_ProForma!AO69</f>
        <v/>
      </c>
    </row>
    <row r="180">
      <c r="A180" s="5" t="inlineStr">
        <is>
          <t>out_pf_pf_ebitda</t>
        </is>
      </c>
      <c r="B180" s="5" t="inlineStr">
        <is>
          <t>MA_ProForma: Pro-forma EBITDA</t>
        </is>
      </c>
      <c r="C180" s="2" t="inlineStr">
        <is>
          <t>GBP k</t>
        </is>
      </c>
      <c r="E180" s="19">
        <f>MA_ProForma!O70</f>
        <v/>
      </c>
      <c r="F180" s="19">
        <f>MA_ProForma!P70</f>
        <v/>
      </c>
      <c r="G180" s="19">
        <f>MA_ProForma!Q70</f>
        <v/>
      </c>
      <c r="H180" s="19">
        <f>MA_ProForma!R70</f>
        <v/>
      </c>
      <c r="I180" s="19">
        <f>MA_ProForma!S70</f>
        <v/>
      </c>
      <c r="J180" s="19">
        <f>MA_ProForma!T70</f>
        <v/>
      </c>
      <c r="K180" s="19">
        <f>MA_ProForma!U70</f>
        <v/>
      </c>
      <c r="L180" s="19">
        <f>MA_ProForma!V70</f>
        <v/>
      </c>
      <c r="M180" s="19">
        <f>MA_ProForma!W70</f>
        <v/>
      </c>
      <c r="N180" s="19">
        <f>MA_ProForma!X70</f>
        <v/>
      </c>
      <c r="O180" s="19">
        <f>MA_ProForma!Y70</f>
        <v/>
      </c>
      <c r="P180" s="19">
        <f>MA_ProForma!Z70</f>
        <v/>
      </c>
      <c r="Q180" s="19">
        <f>MA_ProForma!AA70</f>
        <v/>
      </c>
      <c r="R180" s="19">
        <f>MA_ProForma!AB70</f>
        <v/>
      </c>
      <c r="S180" s="19">
        <f>MA_ProForma!AC70</f>
        <v/>
      </c>
      <c r="T180" s="19">
        <f>MA_ProForma!AD70</f>
        <v/>
      </c>
      <c r="U180" s="19">
        <f>MA_ProForma!AE70</f>
        <v/>
      </c>
      <c r="V180" s="19">
        <f>MA_ProForma!AF70</f>
        <v/>
      </c>
      <c r="W180" s="19">
        <f>MA_ProForma!AG70</f>
        <v/>
      </c>
      <c r="X180" s="19">
        <f>MA_ProForma!AH70</f>
        <v/>
      </c>
      <c r="Y180" s="19">
        <f>MA_ProForma!AI70</f>
        <v/>
      </c>
      <c r="Z180" s="19">
        <f>MA_ProForma!AJ70</f>
        <v/>
      </c>
      <c r="AA180" s="19">
        <f>MA_ProForma!AK70</f>
        <v/>
      </c>
      <c r="AB180" s="19">
        <f>MA_ProForma!AL70</f>
        <v/>
      </c>
      <c r="AC180" s="19">
        <f>MA_ProForma!AN70</f>
        <v/>
      </c>
      <c r="AD180" s="19">
        <f>MA_ProForma!AO70</f>
        <v/>
      </c>
    </row>
    <row r="181">
      <c r="A181" s="5" t="inlineStr">
        <is>
          <t>out_pf_pf_ni</t>
        </is>
      </c>
      <c r="B181" s="5" t="inlineStr">
        <is>
          <t>MA_ProForma: Pro-forma net income</t>
        </is>
      </c>
      <c r="C181" s="2" t="inlineStr">
        <is>
          <t>GBP k</t>
        </is>
      </c>
      <c r="E181" s="19">
        <f>MA_ProForma!O71</f>
        <v/>
      </c>
      <c r="F181" s="19">
        <f>MA_ProForma!P71</f>
        <v/>
      </c>
      <c r="G181" s="19">
        <f>MA_ProForma!Q71</f>
        <v/>
      </c>
      <c r="H181" s="19">
        <f>MA_ProForma!R71</f>
        <v/>
      </c>
      <c r="I181" s="19">
        <f>MA_ProForma!S71</f>
        <v/>
      </c>
      <c r="J181" s="19">
        <f>MA_ProForma!T71</f>
        <v/>
      </c>
      <c r="K181" s="19">
        <f>MA_ProForma!U71</f>
        <v/>
      </c>
      <c r="L181" s="19">
        <f>MA_ProForma!V71</f>
        <v/>
      </c>
      <c r="M181" s="19">
        <f>MA_ProForma!W71</f>
        <v/>
      </c>
      <c r="N181" s="19">
        <f>MA_ProForma!X71</f>
        <v/>
      </c>
      <c r="O181" s="19">
        <f>MA_ProForma!Y71</f>
        <v/>
      </c>
      <c r="P181" s="19">
        <f>MA_ProForma!Z71</f>
        <v/>
      </c>
      <c r="Q181" s="19">
        <f>MA_ProForma!AA71</f>
        <v/>
      </c>
      <c r="R181" s="19">
        <f>MA_ProForma!AB71</f>
        <v/>
      </c>
      <c r="S181" s="19">
        <f>MA_ProForma!AC71</f>
        <v/>
      </c>
      <c r="T181" s="19">
        <f>MA_ProForma!AD71</f>
        <v/>
      </c>
      <c r="U181" s="19">
        <f>MA_ProForma!AE71</f>
        <v/>
      </c>
      <c r="V181" s="19">
        <f>MA_ProForma!AF71</f>
        <v/>
      </c>
      <c r="W181" s="19">
        <f>MA_ProForma!AG71</f>
        <v/>
      </c>
      <c r="X181" s="19">
        <f>MA_ProForma!AH71</f>
        <v/>
      </c>
      <c r="Y181" s="19">
        <f>MA_ProForma!AI71</f>
        <v/>
      </c>
      <c r="Z181" s="19">
        <f>MA_ProForma!AJ71</f>
        <v/>
      </c>
      <c r="AA181" s="19">
        <f>MA_ProForma!AK71</f>
        <v/>
      </c>
      <c r="AB181" s="19">
        <f>MA_ProForma!AL71</f>
        <v/>
      </c>
      <c r="AC181" s="19">
        <f>MA_ProForma!AN71</f>
        <v/>
      </c>
      <c r="AD181" s="19">
        <f>MA_ProForma!AO71</f>
        <v/>
      </c>
    </row>
    <row r="182">
      <c r="A182" s="5" t="inlineStr">
        <is>
          <t>out_pf_pf_fcf</t>
        </is>
      </c>
      <c r="B182" s="5" t="inlineStr">
        <is>
          <t>MA_ProForma: Pro-forma free cash flow</t>
        </is>
      </c>
      <c r="C182" s="2" t="inlineStr">
        <is>
          <t>GBP k</t>
        </is>
      </c>
      <c r="E182" s="19">
        <f>MA_ProForma!O73</f>
        <v/>
      </c>
      <c r="F182" s="19">
        <f>MA_ProForma!P73</f>
        <v/>
      </c>
      <c r="G182" s="19">
        <f>MA_ProForma!Q73</f>
        <v/>
      </c>
      <c r="H182" s="19">
        <f>MA_ProForma!R73</f>
        <v/>
      </c>
      <c r="I182" s="19">
        <f>MA_ProForma!S73</f>
        <v/>
      </c>
      <c r="J182" s="19">
        <f>MA_ProForma!T73</f>
        <v/>
      </c>
      <c r="K182" s="19">
        <f>MA_ProForma!U73</f>
        <v/>
      </c>
      <c r="L182" s="19">
        <f>MA_ProForma!V73</f>
        <v/>
      </c>
      <c r="M182" s="19">
        <f>MA_ProForma!W73</f>
        <v/>
      </c>
      <c r="N182" s="19">
        <f>MA_ProForma!X73</f>
        <v/>
      </c>
      <c r="O182" s="19">
        <f>MA_ProForma!Y73</f>
        <v/>
      </c>
      <c r="P182" s="19">
        <f>MA_ProForma!Z73</f>
        <v/>
      </c>
      <c r="Q182" s="19">
        <f>MA_ProForma!AA73</f>
        <v/>
      </c>
      <c r="R182" s="19">
        <f>MA_ProForma!AB73</f>
        <v/>
      </c>
      <c r="S182" s="19">
        <f>MA_ProForma!AC73</f>
        <v/>
      </c>
      <c r="T182" s="19">
        <f>MA_ProForma!AD73</f>
        <v/>
      </c>
      <c r="U182" s="19">
        <f>MA_ProForma!AE73</f>
        <v/>
      </c>
      <c r="V182" s="19">
        <f>MA_ProForma!AF73</f>
        <v/>
      </c>
      <c r="W182" s="19">
        <f>MA_ProForma!AG73</f>
        <v/>
      </c>
      <c r="X182" s="19">
        <f>MA_ProForma!AH73</f>
        <v/>
      </c>
      <c r="Y182" s="19">
        <f>MA_ProForma!AI73</f>
        <v/>
      </c>
      <c r="Z182" s="19">
        <f>MA_ProForma!AJ73</f>
        <v/>
      </c>
      <c r="AA182" s="19">
        <f>MA_ProForma!AK73</f>
        <v/>
      </c>
      <c r="AB182" s="19">
        <f>MA_ProForma!AL73</f>
        <v/>
      </c>
      <c r="AC182" s="19">
        <f>MA_ProForma!AN73</f>
        <v/>
      </c>
      <c r="AD182" s="19">
        <f>MA_ProForma!AO73</f>
        <v/>
      </c>
    </row>
    <row r="183">
      <c r="A183" s="5" t="inlineStr">
        <is>
          <t>out_pf_pf_cash</t>
        </is>
      </c>
      <c r="B183" s="5" t="inlineStr">
        <is>
          <t>MA_ProForma: Pro-forma closing cash</t>
        </is>
      </c>
      <c r="C183" s="2" t="inlineStr">
        <is>
          <t>GBP k</t>
        </is>
      </c>
      <c r="D183" s="19">
        <f>MA_ProForma!N74</f>
        <v/>
      </c>
      <c r="E183" s="19">
        <f>MA_ProForma!O74</f>
        <v/>
      </c>
      <c r="F183" s="19">
        <f>MA_ProForma!P74</f>
        <v/>
      </c>
      <c r="G183" s="19">
        <f>MA_ProForma!Q74</f>
        <v/>
      </c>
      <c r="H183" s="19">
        <f>MA_ProForma!R74</f>
        <v/>
      </c>
      <c r="I183" s="19">
        <f>MA_ProForma!S74</f>
        <v/>
      </c>
      <c r="J183" s="19">
        <f>MA_ProForma!T74</f>
        <v/>
      </c>
      <c r="K183" s="19">
        <f>MA_ProForma!U74</f>
        <v/>
      </c>
      <c r="L183" s="19">
        <f>MA_ProForma!V74</f>
        <v/>
      </c>
      <c r="M183" s="19">
        <f>MA_ProForma!W74</f>
        <v/>
      </c>
      <c r="N183" s="19">
        <f>MA_ProForma!X74</f>
        <v/>
      </c>
      <c r="O183" s="19">
        <f>MA_ProForma!Y74</f>
        <v/>
      </c>
      <c r="P183" s="19">
        <f>MA_ProForma!Z74</f>
        <v/>
      </c>
      <c r="Q183" s="19">
        <f>MA_ProForma!AA74</f>
        <v/>
      </c>
      <c r="R183" s="19">
        <f>MA_ProForma!AB74</f>
        <v/>
      </c>
      <c r="S183" s="19">
        <f>MA_ProForma!AC74</f>
        <v/>
      </c>
      <c r="T183" s="19">
        <f>MA_ProForma!AD74</f>
        <v/>
      </c>
      <c r="U183" s="19">
        <f>MA_ProForma!AE74</f>
        <v/>
      </c>
      <c r="V183" s="19">
        <f>MA_ProForma!AF74</f>
        <v/>
      </c>
      <c r="W183" s="19">
        <f>MA_ProForma!AG74</f>
        <v/>
      </c>
      <c r="X183" s="19">
        <f>MA_ProForma!AH74</f>
        <v/>
      </c>
      <c r="Y183" s="19">
        <f>MA_ProForma!AI74</f>
        <v/>
      </c>
      <c r="Z183" s="19">
        <f>MA_ProForma!AJ74</f>
        <v/>
      </c>
      <c r="AA183" s="19">
        <f>MA_ProForma!AK74</f>
        <v/>
      </c>
      <c r="AB183" s="19">
        <f>MA_ProForma!AL74</f>
        <v/>
      </c>
      <c r="AC183" s="19">
        <f>MA_ProForma!AN74</f>
        <v/>
      </c>
      <c r="AD183" s="19">
        <f>MA_ProForma!AO74</f>
        <v/>
      </c>
    </row>
    <row r="184">
      <c r="A184" s="5" t="inlineStr">
        <is>
          <t>out_pf_pf_arr</t>
        </is>
      </c>
      <c r="B184" s="5" t="inlineStr">
        <is>
          <t>MA_ProForma: Pro-forma closing ARR</t>
        </is>
      </c>
      <c r="C184" s="2" t="inlineStr">
        <is>
          <t>GBP k</t>
        </is>
      </c>
      <c r="D184" s="19">
        <f>MA_ProForma!N94</f>
        <v/>
      </c>
      <c r="E184" s="19">
        <f>MA_ProForma!O94</f>
        <v/>
      </c>
      <c r="F184" s="19">
        <f>MA_ProForma!P94</f>
        <v/>
      </c>
      <c r="G184" s="19">
        <f>MA_ProForma!Q94</f>
        <v/>
      </c>
      <c r="H184" s="19">
        <f>MA_ProForma!R94</f>
        <v/>
      </c>
      <c r="I184" s="19">
        <f>MA_ProForma!S94</f>
        <v/>
      </c>
      <c r="J184" s="19">
        <f>MA_ProForma!T94</f>
        <v/>
      </c>
      <c r="K184" s="19">
        <f>MA_ProForma!U94</f>
        <v/>
      </c>
      <c r="L184" s="19">
        <f>MA_ProForma!V94</f>
        <v/>
      </c>
      <c r="M184" s="19">
        <f>MA_ProForma!W94</f>
        <v/>
      </c>
      <c r="N184" s="19">
        <f>MA_ProForma!X94</f>
        <v/>
      </c>
      <c r="O184" s="19">
        <f>MA_ProForma!Y94</f>
        <v/>
      </c>
      <c r="P184" s="19">
        <f>MA_ProForma!Z94</f>
        <v/>
      </c>
      <c r="Q184" s="19">
        <f>MA_ProForma!AA94</f>
        <v/>
      </c>
      <c r="R184" s="19">
        <f>MA_ProForma!AB94</f>
        <v/>
      </c>
      <c r="S184" s="19">
        <f>MA_ProForma!AC94</f>
        <v/>
      </c>
      <c r="T184" s="19">
        <f>MA_ProForma!AD94</f>
        <v/>
      </c>
      <c r="U184" s="19">
        <f>MA_ProForma!AE94</f>
        <v/>
      </c>
      <c r="V184" s="19">
        <f>MA_ProForma!AF94</f>
        <v/>
      </c>
      <c r="W184" s="19">
        <f>MA_ProForma!AG94</f>
        <v/>
      </c>
      <c r="X184" s="19">
        <f>MA_ProForma!AH94</f>
        <v/>
      </c>
      <c r="Y184" s="19">
        <f>MA_ProForma!AI94</f>
        <v/>
      </c>
      <c r="Z184" s="19">
        <f>MA_ProForma!AJ94</f>
        <v/>
      </c>
      <c r="AA184" s="19">
        <f>MA_ProForma!AK94</f>
        <v/>
      </c>
      <c r="AB184" s="19">
        <f>MA_ProForma!AL94</f>
        <v/>
      </c>
      <c r="AC184" s="19">
        <f>MA_ProForma!AN94</f>
        <v/>
      </c>
      <c r="AD184" s="19">
        <f>MA_ProForma!AO94</f>
        <v/>
      </c>
    </row>
    <row r="185">
      <c r="A185" s="5" t="inlineStr">
        <is>
          <t>out_pf_pf_growth</t>
        </is>
      </c>
      <c r="B185" s="5" t="inlineStr">
        <is>
          <t>MA_ProForma: ARR growth, year on year</t>
        </is>
      </c>
      <c r="C185" s="2" t="inlineStr">
        <is>
          <t>%</t>
        </is>
      </c>
      <c r="E185" s="17">
        <f>MA_ProForma!O96</f>
        <v/>
      </c>
      <c r="F185" s="17">
        <f>MA_ProForma!P96</f>
        <v/>
      </c>
      <c r="G185" s="17">
        <f>MA_ProForma!Q96</f>
        <v/>
      </c>
      <c r="H185" s="17">
        <f>MA_ProForma!R96</f>
        <v/>
      </c>
      <c r="I185" s="17">
        <f>MA_ProForma!S96</f>
        <v/>
      </c>
      <c r="J185" s="17">
        <f>MA_ProForma!T96</f>
        <v/>
      </c>
      <c r="K185" s="17">
        <f>MA_ProForma!U96</f>
        <v/>
      </c>
      <c r="L185" s="17">
        <f>MA_ProForma!V96</f>
        <v/>
      </c>
      <c r="M185" s="17">
        <f>MA_ProForma!W96</f>
        <v/>
      </c>
      <c r="N185" s="17">
        <f>MA_ProForma!X96</f>
        <v/>
      </c>
      <c r="O185" s="17">
        <f>MA_ProForma!Y96</f>
        <v/>
      </c>
      <c r="P185" s="17">
        <f>MA_ProForma!Z96</f>
        <v/>
      </c>
      <c r="Q185" s="17">
        <f>MA_ProForma!AA96</f>
        <v/>
      </c>
      <c r="R185" s="17">
        <f>MA_ProForma!AB96</f>
        <v/>
      </c>
      <c r="S185" s="17">
        <f>MA_ProForma!AC96</f>
        <v/>
      </c>
      <c r="T185" s="17">
        <f>MA_ProForma!AD96</f>
        <v/>
      </c>
      <c r="U185" s="17">
        <f>MA_ProForma!AE96</f>
        <v/>
      </c>
      <c r="V185" s="17">
        <f>MA_ProForma!AF96</f>
        <v/>
      </c>
      <c r="W185" s="17">
        <f>MA_ProForma!AG96</f>
        <v/>
      </c>
      <c r="X185" s="17">
        <f>MA_ProForma!AH96</f>
        <v/>
      </c>
      <c r="Y185" s="17">
        <f>MA_ProForma!AI96</f>
        <v/>
      </c>
      <c r="Z185" s="17">
        <f>MA_ProForma!AJ96</f>
        <v/>
      </c>
      <c r="AA185" s="17">
        <f>MA_ProForma!AK96</f>
        <v/>
      </c>
      <c r="AB185" s="17">
        <f>MA_ProForma!AL96</f>
        <v/>
      </c>
      <c r="AC185" s="17">
        <f>MA_ProForma!AN96</f>
        <v/>
      </c>
      <c r="AD185" s="17">
        <f>MA_ProForma!AO96</f>
        <v/>
      </c>
    </row>
    <row r="186">
      <c r="A186" s="5" t="inlineStr">
        <is>
          <t>out_pf_pf_nrr</t>
        </is>
      </c>
      <c r="B186" s="5" t="inlineStr">
        <is>
          <t>MA_ProForma: Net revenue retention (annualised)</t>
        </is>
      </c>
      <c r="C186" s="2" t="inlineStr">
        <is>
          <t>%</t>
        </is>
      </c>
      <c r="E186" s="17">
        <f>MA_ProForma!O97</f>
        <v/>
      </c>
      <c r="F186" s="17">
        <f>MA_ProForma!P97</f>
        <v/>
      </c>
      <c r="G186" s="17">
        <f>MA_ProForma!Q97</f>
        <v/>
      </c>
      <c r="H186" s="17">
        <f>MA_ProForma!R97</f>
        <v/>
      </c>
      <c r="I186" s="17">
        <f>MA_ProForma!S97</f>
        <v/>
      </c>
      <c r="J186" s="17">
        <f>MA_ProForma!T97</f>
        <v/>
      </c>
      <c r="K186" s="17">
        <f>MA_ProForma!U97</f>
        <v/>
      </c>
      <c r="L186" s="17">
        <f>MA_ProForma!V97</f>
        <v/>
      </c>
      <c r="M186" s="17">
        <f>MA_ProForma!W97</f>
        <v/>
      </c>
      <c r="N186" s="17">
        <f>MA_ProForma!X97</f>
        <v/>
      </c>
      <c r="O186" s="17">
        <f>MA_ProForma!Y97</f>
        <v/>
      </c>
      <c r="P186" s="17">
        <f>MA_ProForma!Z97</f>
        <v/>
      </c>
      <c r="Q186" s="17">
        <f>MA_ProForma!AA97</f>
        <v/>
      </c>
      <c r="R186" s="17">
        <f>MA_ProForma!AB97</f>
        <v/>
      </c>
      <c r="S186" s="17">
        <f>MA_ProForma!AC97</f>
        <v/>
      </c>
      <c r="T186" s="17">
        <f>MA_ProForma!AD97</f>
        <v/>
      </c>
      <c r="U186" s="17">
        <f>MA_ProForma!AE97</f>
        <v/>
      </c>
      <c r="V186" s="17">
        <f>MA_ProForma!AF97</f>
        <v/>
      </c>
      <c r="W186" s="17">
        <f>MA_ProForma!AG97</f>
        <v/>
      </c>
      <c r="X186" s="17">
        <f>MA_ProForma!AH97</f>
        <v/>
      </c>
      <c r="Y186" s="17">
        <f>MA_ProForma!AI97</f>
        <v/>
      </c>
      <c r="Z186" s="17">
        <f>MA_ProForma!AJ97</f>
        <v/>
      </c>
      <c r="AA186" s="17">
        <f>MA_ProForma!AK97</f>
        <v/>
      </c>
      <c r="AB186" s="17">
        <f>MA_ProForma!AL97</f>
        <v/>
      </c>
      <c r="AC186" s="17">
        <f>MA_ProForma!AN97</f>
        <v/>
      </c>
      <c r="AD186" s="17">
        <f>MA_ProForma!AO97</f>
        <v/>
      </c>
    </row>
    <row r="187">
      <c r="A187" s="5" t="inlineStr">
        <is>
          <t>out_pf_pf_ebitda_m</t>
        </is>
      </c>
      <c r="B187" s="5" t="inlineStr">
        <is>
          <t>MA_ProForma: EBITDA margin</t>
        </is>
      </c>
      <c r="C187" s="2" t="inlineStr">
        <is>
          <t>%</t>
        </is>
      </c>
      <c r="E187" s="17">
        <f>MA_ProForma!O98</f>
        <v/>
      </c>
      <c r="F187" s="17">
        <f>MA_ProForma!P98</f>
        <v/>
      </c>
      <c r="G187" s="17">
        <f>MA_ProForma!Q98</f>
        <v/>
      </c>
      <c r="H187" s="17">
        <f>MA_ProForma!R98</f>
        <v/>
      </c>
      <c r="I187" s="17">
        <f>MA_ProForma!S98</f>
        <v/>
      </c>
      <c r="J187" s="17">
        <f>MA_ProForma!T98</f>
        <v/>
      </c>
      <c r="K187" s="17">
        <f>MA_ProForma!U98</f>
        <v/>
      </c>
      <c r="L187" s="17">
        <f>MA_ProForma!V98</f>
        <v/>
      </c>
      <c r="M187" s="17">
        <f>MA_ProForma!W98</f>
        <v/>
      </c>
      <c r="N187" s="17">
        <f>MA_ProForma!X98</f>
        <v/>
      </c>
      <c r="O187" s="17">
        <f>MA_ProForma!Y98</f>
        <v/>
      </c>
      <c r="P187" s="17">
        <f>MA_ProForma!Z98</f>
        <v/>
      </c>
      <c r="Q187" s="17">
        <f>MA_ProForma!AA98</f>
        <v/>
      </c>
      <c r="R187" s="17">
        <f>MA_ProForma!AB98</f>
        <v/>
      </c>
      <c r="S187" s="17">
        <f>MA_ProForma!AC98</f>
        <v/>
      </c>
      <c r="T187" s="17">
        <f>MA_ProForma!AD98</f>
        <v/>
      </c>
      <c r="U187" s="17">
        <f>MA_ProForma!AE98</f>
        <v/>
      </c>
      <c r="V187" s="17">
        <f>MA_ProForma!AF98</f>
        <v/>
      </c>
      <c r="W187" s="17">
        <f>MA_ProForma!AG98</f>
        <v/>
      </c>
      <c r="X187" s="17">
        <f>MA_ProForma!AH98</f>
        <v/>
      </c>
      <c r="Y187" s="17">
        <f>MA_ProForma!AI98</f>
        <v/>
      </c>
      <c r="Z187" s="17">
        <f>MA_ProForma!AJ98</f>
        <v/>
      </c>
      <c r="AA187" s="17">
        <f>MA_ProForma!AK98</f>
        <v/>
      </c>
      <c r="AB187" s="17">
        <f>MA_ProForma!AL98</f>
        <v/>
      </c>
      <c r="AC187" s="17">
        <f>MA_ProForma!AN98</f>
        <v/>
      </c>
      <c r="AD187" s="17">
        <f>MA_ProForma!AO98</f>
        <v/>
      </c>
    </row>
    <row r="188">
      <c r="A188" s="5" t="inlineStr">
        <is>
          <t>out_pf_pf_rule40</t>
        </is>
      </c>
      <c r="B188" s="5" t="inlineStr">
        <is>
          <t>MA_ProForma: Rule of 40</t>
        </is>
      </c>
      <c r="C188" s="2" t="inlineStr">
        <is>
          <t>%</t>
        </is>
      </c>
      <c r="E188" s="17">
        <f>MA_ProForma!O99</f>
        <v/>
      </c>
      <c r="F188" s="17">
        <f>MA_ProForma!P99</f>
        <v/>
      </c>
      <c r="G188" s="17">
        <f>MA_ProForma!Q99</f>
        <v/>
      </c>
      <c r="H188" s="17">
        <f>MA_ProForma!R99</f>
        <v/>
      </c>
      <c r="I188" s="17">
        <f>MA_ProForma!S99</f>
        <v/>
      </c>
      <c r="J188" s="17">
        <f>MA_ProForma!T99</f>
        <v/>
      </c>
      <c r="K188" s="17">
        <f>MA_ProForma!U99</f>
        <v/>
      </c>
      <c r="L188" s="17">
        <f>MA_ProForma!V99</f>
        <v/>
      </c>
      <c r="M188" s="17">
        <f>MA_ProForma!W99</f>
        <v/>
      </c>
      <c r="N188" s="17">
        <f>MA_ProForma!X99</f>
        <v/>
      </c>
      <c r="O188" s="17">
        <f>MA_ProForma!Y99</f>
        <v/>
      </c>
      <c r="P188" s="17">
        <f>MA_ProForma!Z99</f>
        <v/>
      </c>
      <c r="Q188" s="17">
        <f>MA_ProForma!AA99</f>
        <v/>
      </c>
      <c r="R188" s="17">
        <f>MA_ProForma!AB99</f>
        <v/>
      </c>
      <c r="S188" s="17">
        <f>MA_ProForma!AC99</f>
        <v/>
      </c>
      <c r="T188" s="17">
        <f>MA_ProForma!AD99</f>
        <v/>
      </c>
      <c r="U188" s="17">
        <f>MA_ProForma!AE99</f>
        <v/>
      </c>
      <c r="V188" s="17">
        <f>MA_ProForma!AF99</f>
        <v/>
      </c>
      <c r="W188" s="17">
        <f>MA_ProForma!AG99</f>
        <v/>
      </c>
      <c r="X188" s="17">
        <f>MA_ProForma!AH99</f>
        <v/>
      </c>
      <c r="Y188" s="17">
        <f>MA_ProForma!AI99</f>
        <v/>
      </c>
      <c r="Z188" s="17">
        <f>MA_ProForma!AJ99</f>
        <v/>
      </c>
      <c r="AA188" s="17">
        <f>MA_ProForma!AK99</f>
        <v/>
      </c>
      <c r="AB188" s="17">
        <f>MA_ProForma!AL99</f>
        <v/>
      </c>
      <c r="AC188" s="17">
        <f>MA_ProForma!AN99</f>
        <v/>
      </c>
      <c r="AD188" s="17">
        <f>MA_ProForma!AO99</f>
        <v/>
      </c>
    </row>
    <row r="189">
      <c r="A189" s="5" t="inlineStr">
        <is>
          <t>out_pf_pf_burn_mult</t>
        </is>
      </c>
      <c r="B189" s="5" t="inlineStr">
        <is>
          <t>MA_ProForma: Burn multiple</t>
        </is>
      </c>
      <c r="C189" s="2" t="inlineStr">
        <is>
          <t>x</t>
        </is>
      </c>
      <c r="E189" s="63">
        <f>MA_ProForma!O101</f>
        <v/>
      </c>
      <c r="F189" s="63">
        <f>MA_ProForma!P101</f>
        <v/>
      </c>
      <c r="G189" s="63">
        <f>MA_ProForma!Q101</f>
        <v/>
      </c>
      <c r="H189" s="63">
        <f>MA_ProForma!R101</f>
        <v/>
      </c>
      <c r="I189" s="63">
        <f>MA_ProForma!S101</f>
        <v/>
      </c>
      <c r="J189" s="63">
        <f>MA_ProForma!T101</f>
        <v/>
      </c>
      <c r="K189" s="63">
        <f>MA_ProForma!U101</f>
        <v/>
      </c>
      <c r="L189" s="63">
        <f>MA_ProForma!V101</f>
        <v/>
      </c>
      <c r="M189" s="63">
        <f>MA_ProForma!W101</f>
        <v/>
      </c>
      <c r="N189" s="63">
        <f>MA_ProForma!X101</f>
        <v/>
      </c>
      <c r="O189" s="63">
        <f>MA_ProForma!Y101</f>
        <v/>
      </c>
      <c r="P189" s="63">
        <f>MA_ProForma!Z101</f>
        <v/>
      </c>
      <c r="Q189" s="63">
        <f>MA_ProForma!AA101</f>
        <v/>
      </c>
      <c r="R189" s="63">
        <f>MA_ProForma!AB101</f>
        <v/>
      </c>
      <c r="S189" s="63">
        <f>MA_ProForma!AC101</f>
        <v/>
      </c>
      <c r="T189" s="63">
        <f>MA_ProForma!AD101</f>
        <v/>
      </c>
      <c r="U189" s="63">
        <f>MA_ProForma!AE101</f>
        <v/>
      </c>
      <c r="V189" s="63">
        <f>MA_ProForma!AF101</f>
        <v/>
      </c>
      <c r="W189" s="63">
        <f>MA_ProForma!AG101</f>
        <v/>
      </c>
      <c r="X189" s="63">
        <f>MA_ProForma!AH101</f>
        <v/>
      </c>
      <c r="Y189" s="63">
        <f>MA_ProForma!AI101</f>
        <v/>
      </c>
      <c r="Z189" s="63">
        <f>MA_ProForma!AJ101</f>
        <v/>
      </c>
      <c r="AA189" s="63">
        <f>MA_ProForma!AK101</f>
        <v/>
      </c>
      <c r="AB189" s="63">
        <f>MA_ProForma!AL101</f>
        <v/>
      </c>
      <c r="AC189" s="63">
        <f>MA_ProForma!AN101</f>
        <v/>
      </c>
      <c r="AD189" s="63">
        <f>MA_ProForma!AO101</f>
        <v/>
      </c>
    </row>
    <row r="190">
      <c r="A190" s="5" t="inlineStr">
        <is>
          <t>out_pf_pf_runway</t>
        </is>
      </c>
      <c r="B190" s="5" t="inlineStr">
        <is>
          <t>MA_ProForma: Cash runway (months at trailing 3m average burn)</t>
        </is>
      </c>
      <c r="C190" s="2" t="inlineStr">
        <is>
          <t>months</t>
        </is>
      </c>
      <c r="E190" s="60">
        <f>MA_ProForma!O102</f>
        <v/>
      </c>
      <c r="F190" s="60">
        <f>MA_ProForma!P102</f>
        <v/>
      </c>
      <c r="G190" s="60">
        <f>MA_ProForma!Q102</f>
        <v/>
      </c>
      <c r="H190" s="60">
        <f>MA_ProForma!R102</f>
        <v/>
      </c>
      <c r="I190" s="60">
        <f>MA_ProForma!S102</f>
        <v/>
      </c>
      <c r="J190" s="60">
        <f>MA_ProForma!T102</f>
        <v/>
      </c>
      <c r="K190" s="60">
        <f>MA_ProForma!U102</f>
        <v/>
      </c>
      <c r="L190" s="60">
        <f>MA_ProForma!V102</f>
        <v/>
      </c>
      <c r="M190" s="60">
        <f>MA_ProForma!W102</f>
        <v/>
      </c>
      <c r="N190" s="60">
        <f>MA_ProForma!X102</f>
        <v/>
      </c>
      <c r="O190" s="60">
        <f>MA_ProForma!Y102</f>
        <v/>
      </c>
      <c r="P190" s="60">
        <f>MA_ProForma!Z102</f>
        <v/>
      </c>
      <c r="Q190" s="60">
        <f>MA_ProForma!AA102</f>
        <v/>
      </c>
      <c r="R190" s="60">
        <f>MA_ProForma!AB102</f>
        <v/>
      </c>
      <c r="S190" s="60">
        <f>MA_ProForma!AC102</f>
        <v/>
      </c>
      <c r="T190" s="60">
        <f>MA_ProForma!AD102</f>
        <v/>
      </c>
      <c r="U190" s="60">
        <f>MA_ProForma!AE102</f>
        <v/>
      </c>
      <c r="V190" s="60">
        <f>MA_ProForma!AF102</f>
        <v/>
      </c>
      <c r="W190" s="60">
        <f>MA_ProForma!AG102</f>
        <v/>
      </c>
      <c r="X190" s="60">
        <f>MA_ProForma!AH102</f>
        <v/>
      </c>
      <c r="Y190" s="60">
        <f>MA_ProForma!AI102</f>
        <v/>
      </c>
      <c r="Z190" s="60">
        <f>MA_ProForma!AJ102</f>
        <v/>
      </c>
      <c r="AA190" s="60">
        <f>MA_ProForma!AK102</f>
        <v/>
      </c>
      <c r="AB190" s="60">
        <f>MA_ProForma!AL102</f>
        <v/>
      </c>
      <c r="AC190" s="60">
        <f>MA_ProForma!AN102</f>
        <v/>
      </c>
      <c r="AD190" s="60">
        <f>MA_ProForma!AO102</f>
        <v/>
      </c>
    </row>
    <row r="191">
      <c r="A191" s="5" t="inlineStr">
        <is>
          <t>out_pf_syn_arr</t>
        </is>
      </c>
      <c r="B191" s="5" t="inlineStr">
        <is>
          <t>MA_ProForma: Synergy ARR (closing)</t>
        </is>
      </c>
      <c r="C191" s="2" t="inlineStr">
        <is>
          <t>GBP k</t>
        </is>
      </c>
      <c r="D191" s="19">
        <f>MA_ProForma!N56</f>
        <v/>
      </c>
      <c r="E191" s="19">
        <f>MA_ProForma!O56</f>
        <v/>
      </c>
      <c r="F191" s="19">
        <f>MA_ProForma!P56</f>
        <v/>
      </c>
      <c r="G191" s="19">
        <f>MA_ProForma!Q56</f>
        <v/>
      </c>
      <c r="H191" s="19">
        <f>MA_ProForma!R56</f>
        <v/>
      </c>
      <c r="I191" s="19">
        <f>MA_ProForma!S56</f>
        <v/>
      </c>
      <c r="J191" s="19">
        <f>MA_ProForma!T56</f>
        <v/>
      </c>
      <c r="K191" s="19">
        <f>MA_ProForma!U56</f>
        <v/>
      </c>
      <c r="L191" s="19">
        <f>MA_ProForma!V56</f>
        <v/>
      </c>
      <c r="M191" s="19">
        <f>MA_ProForma!W56</f>
        <v/>
      </c>
      <c r="N191" s="19">
        <f>MA_ProForma!X56</f>
        <v/>
      </c>
      <c r="O191" s="19">
        <f>MA_ProForma!Y56</f>
        <v/>
      </c>
      <c r="P191" s="19">
        <f>MA_ProForma!Z56</f>
        <v/>
      </c>
      <c r="Q191" s="19">
        <f>MA_ProForma!AA56</f>
        <v/>
      </c>
      <c r="R191" s="19">
        <f>MA_ProForma!AB56</f>
        <v/>
      </c>
      <c r="S191" s="19">
        <f>MA_ProForma!AC56</f>
        <v/>
      </c>
      <c r="T191" s="19">
        <f>MA_ProForma!AD56</f>
        <v/>
      </c>
      <c r="U191" s="19">
        <f>MA_ProForma!AE56</f>
        <v/>
      </c>
      <c r="V191" s="19">
        <f>MA_ProForma!AF56</f>
        <v/>
      </c>
      <c r="W191" s="19">
        <f>MA_ProForma!AG56</f>
        <v/>
      </c>
      <c r="X191" s="19">
        <f>MA_ProForma!AH56</f>
        <v/>
      </c>
      <c r="Y191" s="19">
        <f>MA_ProForma!AI56</f>
        <v/>
      </c>
      <c r="Z191" s="19">
        <f>MA_ProForma!AJ56</f>
        <v/>
      </c>
      <c r="AA191" s="19">
        <f>MA_ProForma!AK56</f>
        <v/>
      </c>
      <c r="AB191" s="19">
        <f>MA_ProForma!AL56</f>
        <v/>
      </c>
      <c r="AC191" s="19">
        <f>MA_ProForma!AN56</f>
        <v/>
      </c>
      <c r="AD191" s="19">
        <f>MA_ProForma!AO56</f>
        <v/>
      </c>
    </row>
    <row r="192">
      <c r="A192" s="5" t="inlineStr">
        <is>
          <t>out_pf_syn_rev</t>
        </is>
      </c>
      <c r="B192" s="5" t="inlineStr">
        <is>
          <t>MA_ProForma: Revenue synergies</t>
        </is>
      </c>
      <c r="C192" s="2" t="inlineStr">
        <is>
          <t>GBP k</t>
        </is>
      </c>
      <c r="E192" s="19">
        <f>MA_ProForma!O57</f>
        <v/>
      </c>
      <c r="F192" s="19">
        <f>MA_ProForma!P57</f>
        <v/>
      </c>
      <c r="G192" s="19">
        <f>MA_ProForma!Q57</f>
        <v/>
      </c>
      <c r="H192" s="19">
        <f>MA_ProForma!R57</f>
        <v/>
      </c>
      <c r="I192" s="19">
        <f>MA_ProForma!S57</f>
        <v/>
      </c>
      <c r="J192" s="19">
        <f>MA_ProForma!T57</f>
        <v/>
      </c>
      <c r="K192" s="19">
        <f>MA_ProForma!U57</f>
        <v/>
      </c>
      <c r="L192" s="19">
        <f>MA_ProForma!V57</f>
        <v/>
      </c>
      <c r="M192" s="19">
        <f>MA_ProForma!W57</f>
        <v/>
      </c>
      <c r="N192" s="19">
        <f>MA_ProForma!X57</f>
        <v/>
      </c>
      <c r="O192" s="19">
        <f>MA_ProForma!Y57</f>
        <v/>
      </c>
      <c r="P192" s="19">
        <f>MA_ProForma!Z57</f>
        <v/>
      </c>
      <c r="Q192" s="19">
        <f>MA_ProForma!AA57</f>
        <v/>
      </c>
      <c r="R192" s="19">
        <f>MA_ProForma!AB57</f>
        <v/>
      </c>
      <c r="S192" s="19">
        <f>MA_ProForma!AC57</f>
        <v/>
      </c>
      <c r="T192" s="19">
        <f>MA_ProForma!AD57</f>
        <v/>
      </c>
      <c r="U192" s="19">
        <f>MA_ProForma!AE57</f>
        <v/>
      </c>
      <c r="V192" s="19">
        <f>MA_ProForma!AF57</f>
        <v/>
      </c>
      <c r="W192" s="19">
        <f>MA_ProForma!AG57</f>
        <v/>
      </c>
      <c r="X192" s="19">
        <f>MA_ProForma!AH57</f>
        <v/>
      </c>
      <c r="Y192" s="19">
        <f>MA_ProForma!AI57</f>
        <v/>
      </c>
      <c r="Z192" s="19">
        <f>MA_ProForma!AJ57</f>
        <v/>
      </c>
      <c r="AA192" s="19">
        <f>MA_ProForma!AK57</f>
        <v/>
      </c>
      <c r="AB192" s="19">
        <f>MA_ProForma!AL57</f>
        <v/>
      </c>
      <c r="AC192" s="19">
        <f>MA_ProForma!AN57</f>
        <v/>
      </c>
      <c r="AD192" s="19">
        <f>MA_ProForma!AO57</f>
        <v/>
      </c>
    </row>
    <row r="193">
      <c r="A193" s="5" t="inlineStr">
        <is>
          <t>out_pf_syn_ebitda</t>
        </is>
      </c>
      <c r="B193" s="5" t="inlineStr">
        <is>
          <t>MA_ProForma: EBITDA from synergies (cross-sell contribution + cost savings)</t>
        </is>
      </c>
      <c r="C193" s="2" t="inlineStr">
        <is>
          <t>GBP k</t>
        </is>
      </c>
      <c r="E193" s="19">
        <f>MA_ProForma!O58</f>
        <v/>
      </c>
      <c r="F193" s="19">
        <f>MA_ProForma!P58</f>
        <v/>
      </c>
      <c r="G193" s="19">
        <f>MA_ProForma!Q58</f>
        <v/>
      </c>
      <c r="H193" s="19">
        <f>MA_ProForma!R58</f>
        <v/>
      </c>
      <c r="I193" s="19">
        <f>MA_ProForma!S58</f>
        <v/>
      </c>
      <c r="J193" s="19">
        <f>MA_ProForma!T58</f>
        <v/>
      </c>
      <c r="K193" s="19">
        <f>MA_ProForma!U58</f>
        <v/>
      </c>
      <c r="L193" s="19">
        <f>MA_ProForma!V58</f>
        <v/>
      </c>
      <c r="M193" s="19">
        <f>MA_ProForma!W58</f>
        <v/>
      </c>
      <c r="N193" s="19">
        <f>MA_ProForma!X58</f>
        <v/>
      </c>
      <c r="O193" s="19">
        <f>MA_ProForma!Y58</f>
        <v/>
      </c>
      <c r="P193" s="19">
        <f>MA_ProForma!Z58</f>
        <v/>
      </c>
      <c r="Q193" s="19">
        <f>MA_ProForma!AA58</f>
        <v/>
      </c>
      <c r="R193" s="19">
        <f>MA_ProForma!AB58</f>
        <v/>
      </c>
      <c r="S193" s="19">
        <f>MA_ProForma!AC58</f>
        <v/>
      </c>
      <c r="T193" s="19">
        <f>MA_ProForma!AD58</f>
        <v/>
      </c>
      <c r="U193" s="19">
        <f>MA_ProForma!AE58</f>
        <v/>
      </c>
      <c r="V193" s="19">
        <f>MA_ProForma!AF58</f>
        <v/>
      </c>
      <c r="W193" s="19">
        <f>MA_ProForma!AG58</f>
        <v/>
      </c>
      <c r="X193" s="19">
        <f>MA_ProForma!AH58</f>
        <v/>
      </c>
      <c r="Y193" s="19">
        <f>MA_ProForma!AI58</f>
        <v/>
      </c>
      <c r="Z193" s="19">
        <f>MA_ProForma!AJ58</f>
        <v/>
      </c>
      <c r="AA193" s="19">
        <f>MA_ProForma!AK58</f>
        <v/>
      </c>
      <c r="AB193" s="19">
        <f>MA_ProForma!AL58</f>
        <v/>
      </c>
      <c r="AC193" s="19">
        <f>MA_ProForma!AN58</f>
        <v/>
      </c>
      <c r="AD193" s="19">
        <f>MA_ProForma!AO58</f>
        <v/>
      </c>
    </row>
    <row r="194">
      <c r="A194" s="5" t="inlineStr">
        <is>
          <t>out_pf_integ</t>
        </is>
      </c>
      <c r="B194" s="5" t="inlineStr">
        <is>
          <t>MA_ProForma: Integration costs</t>
        </is>
      </c>
      <c r="C194" s="2" t="inlineStr">
        <is>
          <t>GBP k</t>
        </is>
      </c>
      <c r="E194" s="19">
        <f>MA_ProForma!O59</f>
        <v/>
      </c>
      <c r="F194" s="19">
        <f>MA_ProForma!P59</f>
        <v/>
      </c>
      <c r="G194" s="19">
        <f>MA_ProForma!Q59</f>
        <v/>
      </c>
      <c r="H194" s="19">
        <f>MA_ProForma!R59</f>
        <v/>
      </c>
      <c r="I194" s="19">
        <f>MA_ProForma!S59</f>
        <v/>
      </c>
      <c r="J194" s="19">
        <f>MA_ProForma!T59</f>
        <v/>
      </c>
      <c r="K194" s="19">
        <f>MA_ProForma!U59</f>
        <v/>
      </c>
      <c r="L194" s="19">
        <f>MA_ProForma!V59</f>
        <v/>
      </c>
      <c r="M194" s="19">
        <f>MA_ProForma!W59</f>
        <v/>
      </c>
      <c r="N194" s="19">
        <f>MA_ProForma!X59</f>
        <v/>
      </c>
      <c r="O194" s="19">
        <f>MA_ProForma!Y59</f>
        <v/>
      </c>
      <c r="P194" s="19">
        <f>MA_ProForma!Z59</f>
        <v/>
      </c>
      <c r="Q194" s="19">
        <f>MA_ProForma!AA59</f>
        <v/>
      </c>
      <c r="R194" s="19">
        <f>MA_ProForma!AB59</f>
        <v/>
      </c>
      <c r="S194" s="19">
        <f>MA_ProForma!AC59</f>
        <v/>
      </c>
      <c r="T194" s="19">
        <f>MA_ProForma!AD59</f>
        <v/>
      </c>
      <c r="U194" s="19">
        <f>MA_ProForma!AE59</f>
        <v/>
      </c>
      <c r="V194" s="19">
        <f>MA_ProForma!AF59</f>
        <v/>
      </c>
      <c r="W194" s="19">
        <f>MA_ProForma!AG59</f>
        <v/>
      </c>
      <c r="X194" s="19">
        <f>MA_ProForma!AH59</f>
        <v/>
      </c>
      <c r="Y194" s="19">
        <f>MA_ProForma!AI59</f>
        <v/>
      </c>
      <c r="Z194" s="19">
        <f>MA_ProForma!AJ59</f>
        <v/>
      </c>
      <c r="AA194" s="19">
        <f>MA_ProForma!AK59</f>
        <v/>
      </c>
      <c r="AB194" s="19">
        <f>MA_ProForma!AL59</f>
        <v/>
      </c>
      <c r="AC194" s="19">
        <f>MA_ProForma!AN59</f>
        <v/>
      </c>
      <c r="AD194" s="19">
        <f>MA_ProForma!AO59</f>
        <v/>
      </c>
    </row>
    <row r="195">
      <c r="A195" s="5" t="inlineStr">
        <is>
          <t>out_pf_txn</t>
        </is>
      </c>
      <c r="B195" s="5" t="inlineStr">
        <is>
          <t>MA_ProForma: Transaction costs</t>
        </is>
      </c>
      <c r="C195" s="2" t="inlineStr">
        <is>
          <t>GBP k</t>
        </is>
      </c>
      <c r="E195" s="19">
        <f>MA_ProForma!O60</f>
        <v/>
      </c>
      <c r="F195" s="19">
        <f>MA_ProForma!P60</f>
        <v/>
      </c>
      <c r="G195" s="19">
        <f>MA_ProForma!Q60</f>
        <v/>
      </c>
      <c r="H195" s="19">
        <f>MA_ProForma!R60</f>
        <v/>
      </c>
      <c r="I195" s="19">
        <f>MA_ProForma!S60</f>
        <v/>
      </c>
      <c r="J195" s="19">
        <f>MA_ProForma!T60</f>
        <v/>
      </c>
      <c r="K195" s="19">
        <f>MA_ProForma!U60</f>
        <v/>
      </c>
      <c r="L195" s="19">
        <f>MA_ProForma!V60</f>
        <v/>
      </c>
      <c r="M195" s="19">
        <f>MA_ProForma!W60</f>
        <v/>
      </c>
      <c r="N195" s="19">
        <f>MA_ProForma!X60</f>
        <v/>
      </c>
      <c r="O195" s="19">
        <f>MA_ProForma!Y60</f>
        <v/>
      </c>
      <c r="P195" s="19">
        <f>MA_ProForma!Z60</f>
        <v/>
      </c>
      <c r="Q195" s="19">
        <f>MA_ProForma!AA60</f>
        <v/>
      </c>
      <c r="R195" s="19">
        <f>MA_ProForma!AB60</f>
        <v/>
      </c>
      <c r="S195" s="19">
        <f>MA_ProForma!AC60</f>
        <v/>
      </c>
      <c r="T195" s="19">
        <f>MA_ProForma!AD60</f>
        <v/>
      </c>
      <c r="U195" s="19">
        <f>MA_ProForma!AE60</f>
        <v/>
      </c>
      <c r="V195" s="19">
        <f>MA_ProForma!AF60</f>
        <v/>
      </c>
      <c r="W195" s="19">
        <f>MA_ProForma!AG60</f>
        <v/>
      </c>
      <c r="X195" s="19">
        <f>MA_ProForma!AH60</f>
        <v/>
      </c>
      <c r="Y195" s="19">
        <f>MA_ProForma!AI60</f>
        <v/>
      </c>
      <c r="Z195" s="19">
        <f>MA_ProForma!AJ60</f>
        <v/>
      </c>
      <c r="AA195" s="19">
        <f>MA_ProForma!AK60</f>
        <v/>
      </c>
      <c r="AB195" s="19">
        <f>MA_ProForma!AL60</f>
        <v/>
      </c>
      <c r="AC195" s="19">
        <f>MA_ProForma!AN60</f>
        <v/>
      </c>
      <c r="AD195" s="19">
        <f>MA_ProForma!AO60</f>
        <v/>
      </c>
    </row>
    <row r="196">
      <c r="A196" s="5" t="inlineStr">
        <is>
          <t>out_pf_hc_loss</t>
        </is>
      </c>
      <c r="B196" s="5" t="inlineStr">
        <is>
          <t>MA_ProForma: Revenue lost: acquired deferred revenue at fair value (IFRS 3)</t>
        </is>
      </c>
      <c r="C196" s="2" t="inlineStr">
        <is>
          <t>GBP k</t>
        </is>
      </c>
      <c r="E196" s="19">
        <f>MA_ProForma!O61</f>
        <v/>
      </c>
      <c r="F196" s="19">
        <f>MA_ProForma!P61</f>
        <v/>
      </c>
      <c r="G196" s="19">
        <f>MA_ProForma!Q61</f>
        <v/>
      </c>
      <c r="H196" s="19">
        <f>MA_ProForma!R61</f>
        <v/>
      </c>
      <c r="I196" s="19">
        <f>MA_ProForma!S61</f>
        <v/>
      </c>
      <c r="J196" s="19">
        <f>MA_ProForma!T61</f>
        <v/>
      </c>
      <c r="K196" s="19">
        <f>MA_ProForma!U61</f>
        <v/>
      </c>
      <c r="L196" s="19">
        <f>MA_ProForma!V61</f>
        <v/>
      </c>
      <c r="M196" s="19">
        <f>MA_ProForma!W61</f>
        <v/>
      </c>
      <c r="N196" s="19">
        <f>MA_ProForma!X61</f>
        <v/>
      </c>
      <c r="O196" s="19">
        <f>MA_ProForma!Y61</f>
        <v/>
      </c>
      <c r="P196" s="19">
        <f>MA_ProForma!Z61</f>
        <v/>
      </c>
      <c r="Q196" s="19">
        <f>MA_ProForma!AA61</f>
        <v/>
      </c>
      <c r="R196" s="19">
        <f>MA_ProForma!AB61</f>
        <v/>
      </c>
      <c r="S196" s="19">
        <f>MA_ProForma!AC61</f>
        <v/>
      </c>
      <c r="T196" s="19">
        <f>MA_ProForma!AD61</f>
        <v/>
      </c>
      <c r="U196" s="19">
        <f>MA_ProForma!AE61</f>
        <v/>
      </c>
      <c r="V196" s="19">
        <f>MA_ProForma!AF61</f>
        <v/>
      </c>
      <c r="W196" s="19">
        <f>MA_ProForma!AG61</f>
        <v/>
      </c>
      <c r="X196" s="19">
        <f>MA_ProForma!AH61</f>
        <v/>
      </c>
      <c r="Y196" s="19">
        <f>MA_ProForma!AI61</f>
        <v/>
      </c>
      <c r="Z196" s="19">
        <f>MA_ProForma!AJ61</f>
        <v/>
      </c>
      <c r="AA196" s="19">
        <f>MA_ProForma!AK61</f>
        <v/>
      </c>
      <c r="AB196" s="19">
        <f>MA_ProForma!AL61</f>
        <v/>
      </c>
      <c r="AC196" s="19">
        <f>MA_ProForma!AN61</f>
        <v/>
      </c>
      <c r="AD196" s="19">
        <f>MA_ProForma!AO61</f>
        <v/>
      </c>
    </row>
    <row r="197">
      <c r="A197" s="5" t="inlineStr">
        <is>
          <t>out_pf_amort</t>
        </is>
      </c>
      <c r="B197" s="5" t="inlineStr">
        <is>
          <t>MA_ProForma: Amortisation of acquired intangibles</t>
        </is>
      </c>
      <c r="C197" s="2" t="inlineStr">
        <is>
          <t>GBP k</t>
        </is>
      </c>
      <c r="E197" s="19">
        <f>MA_ProForma!O62</f>
        <v/>
      </c>
      <c r="F197" s="19">
        <f>MA_ProForma!P62</f>
        <v/>
      </c>
      <c r="G197" s="19">
        <f>MA_ProForma!Q62</f>
        <v/>
      </c>
      <c r="H197" s="19">
        <f>MA_ProForma!R62</f>
        <v/>
      </c>
      <c r="I197" s="19">
        <f>MA_ProForma!S62</f>
        <v/>
      </c>
      <c r="J197" s="19">
        <f>MA_ProForma!T62</f>
        <v/>
      </c>
      <c r="K197" s="19">
        <f>MA_ProForma!U62</f>
        <v/>
      </c>
      <c r="L197" s="19">
        <f>MA_ProForma!V62</f>
        <v/>
      </c>
      <c r="M197" s="19">
        <f>MA_ProForma!W62</f>
        <v/>
      </c>
      <c r="N197" s="19">
        <f>MA_ProForma!X62</f>
        <v/>
      </c>
      <c r="O197" s="19">
        <f>MA_ProForma!Y62</f>
        <v/>
      </c>
      <c r="P197" s="19">
        <f>MA_ProForma!Z62</f>
        <v/>
      </c>
      <c r="Q197" s="19">
        <f>MA_ProForma!AA62</f>
        <v/>
      </c>
      <c r="R197" s="19">
        <f>MA_ProForma!AB62</f>
        <v/>
      </c>
      <c r="S197" s="19">
        <f>MA_ProForma!AC62</f>
        <v/>
      </c>
      <c r="T197" s="19">
        <f>MA_ProForma!AD62</f>
        <v/>
      </c>
      <c r="U197" s="19">
        <f>MA_ProForma!AE62</f>
        <v/>
      </c>
      <c r="V197" s="19">
        <f>MA_ProForma!AF62</f>
        <v/>
      </c>
      <c r="W197" s="19">
        <f>MA_ProForma!AG62</f>
        <v/>
      </c>
      <c r="X197" s="19">
        <f>MA_ProForma!AH62</f>
        <v/>
      </c>
      <c r="Y197" s="19">
        <f>MA_ProForma!AI62</f>
        <v/>
      </c>
      <c r="Z197" s="19">
        <f>MA_ProForma!AJ62</f>
        <v/>
      </c>
      <c r="AA197" s="19">
        <f>MA_ProForma!AK62</f>
        <v/>
      </c>
      <c r="AB197" s="19">
        <f>MA_ProForma!AL62</f>
        <v/>
      </c>
      <c r="AC197" s="19">
        <f>MA_ProForma!AN62</f>
        <v/>
      </c>
      <c r="AD197" s="19">
        <f>MA_ProForma!AO62</f>
        <v/>
      </c>
    </row>
    <row r="198">
      <c r="A198" s="5" t="inlineStr">
        <is>
          <t>out_pf_int_loan</t>
        </is>
      </c>
      <c r="B198" s="5" t="inlineStr">
        <is>
          <t>MA_ProForma: Interest on acquisition loan (prior-period balance)</t>
        </is>
      </c>
      <c r="C198" s="2" t="inlineStr">
        <is>
          <t>GBP k</t>
        </is>
      </c>
      <c r="E198" s="19">
        <f>MA_ProForma!O65</f>
        <v/>
      </c>
      <c r="F198" s="19">
        <f>MA_ProForma!P65</f>
        <v/>
      </c>
      <c r="G198" s="19">
        <f>MA_ProForma!Q65</f>
        <v/>
      </c>
      <c r="H198" s="19">
        <f>MA_ProForma!R65</f>
        <v/>
      </c>
      <c r="I198" s="19">
        <f>MA_ProForma!S65</f>
        <v/>
      </c>
      <c r="J198" s="19">
        <f>MA_ProForma!T65</f>
        <v/>
      </c>
      <c r="K198" s="19">
        <f>MA_ProForma!U65</f>
        <v/>
      </c>
      <c r="L198" s="19">
        <f>MA_ProForma!V65</f>
        <v/>
      </c>
      <c r="M198" s="19">
        <f>MA_ProForma!W65</f>
        <v/>
      </c>
      <c r="N198" s="19">
        <f>MA_ProForma!X65</f>
        <v/>
      </c>
      <c r="O198" s="19">
        <f>MA_ProForma!Y65</f>
        <v/>
      </c>
      <c r="P198" s="19">
        <f>MA_ProForma!Z65</f>
        <v/>
      </c>
      <c r="Q198" s="19">
        <f>MA_ProForma!AA65</f>
        <v/>
      </c>
      <c r="R198" s="19">
        <f>MA_ProForma!AB65</f>
        <v/>
      </c>
      <c r="S198" s="19">
        <f>MA_ProForma!AC65</f>
        <v/>
      </c>
      <c r="T198" s="19">
        <f>MA_ProForma!AD65</f>
        <v/>
      </c>
      <c r="U198" s="19">
        <f>MA_ProForma!AE65</f>
        <v/>
      </c>
      <c r="V198" s="19">
        <f>MA_ProForma!AF65</f>
        <v/>
      </c>
      <c r="W198" s="19">
        <f>MA_ProForma!AG65</f>
        <v/>
      </c>
      <c r="X198" s="19">
        <f>MA_ProForma!AH65</f>
        <v/>
      </c>
      <c r="Y198" s="19">
        <f>MA_ProForma!AI65</f>
        <v/>
      </c>
      <c r="Z198" s="19">
        <f>MA_ProForma!AJ65</f>
        <v/>
      </c>
      <c r="AA198" s="19">
        <f>MA_ProForma!AK65</f>
        <v/>
      </c>
      <c r="AB198" s="19">
        <f>MA_ProForma!AL65</f>
        <v/>
      </c>
      <c r="AC198" s="19">
        <f>MA_ProForma!AN65</f>
        <v/>
      </c>
      <c r="AD198" s="19">
        <f>MA_ProForma!AO65</f>
        <v/>
      </c>
    </row>
    <row r="199">
      <c r="A199" s="5" t="inlineStr">
        <is>
          <t>out_pf_ic_rev</t>
        </is>
      </c>
      <c r="B199" s="5" t="inlineStr">
        <is>
          <t>MA_ProForma: Eliminate intercompany revenue</t>
        </is>
      </c>
      <c r="C199" s="2" t="inlineStr">
        <is>
          <t>GBP k</t>
        </is>
      </c>
      <c r="E199" s="19">
        <f>MA_ProForma!O43</f>
        <v/>
      </c>
      <c r="F199" s="19">
        <f>MA_ProForma!P43</f>
        <v/>
      </c>
      <c r="G199" s="19">
        <f>MA_ProForma!Q43</f>
        <v/>
      </c>
      <c r="H199" s="19">
        <f>MA_ProForma!R43</f>
        <v/>
      </c>
      <c r="I199" s="19">
        <f>MA_ProForma!S43</f>
        <v/>
      </c>
      <c r="J199" s="19">
        <f>MA_ProForma!T43</f>
        <v/>
      </c>
      <c r="K199" s="19">
        <f>MA_ProForma!U43</f>
        <v/>
      </c>
      <c r="L199" s="19">
        <f>MA_ProForma!V43</f>
        <v/>
      </c>
      <c r="M199" s="19">
        <f>MA_ProForma!W43</f>
        <v/>
      </c>
      <c r="N199" s="19">
        <f>MA_ProForma!X43</f>
        <v/>
      </c>
      <c r="O199" s="19">
        <f>MA_ProForma!Y43</f>
        <v/>
      </c>
      <c r="P199" s="19">
        <f>MA_ProForma!Z43</f>
        <v/>
      </c>
      <c r="Q199" s="19">
        <f>MA_ProForma!AA43</f>
        <v/>
      </c>
      <c r="R199" s="19">
        <f>MA_ProForma!AB43</f>
        <v/>
      </c>
      <c r="S199" s="19">
        <f>MA_ProForma!AC43</f>
        <v/>
      </c>
      <c r="T199" s="19">
        <f>MA_ProForma!AD43</f>
        <v/>
      </c>
      <c r="U199" s="19">
        <f>MA_ProForma!AE43</f>
        <v/>
      </c>
      <c r="V199" s="19">
        <f>MA_ProForma!AF43</f>
        <v/>
      </c>
      <c r="W199" s="19">
        <f>MA_ProForma!AG43</f>
        <v/>
      </c>
      <c r="X199" s="19">
        <f>MA_ProForma!AH43</f>
        <v/>
      </c>
      <c r="Y199" s="19">
        <f>MA_ProForma!AI43</f>
        <v/>
      </c>
      <c r="Z199" s="19">
        <f>MA_ProForma!AJ43</f>
        <v/>
      </c>
      <c r="AA199" s="19">
        <f>MA_ProForma!AK43</f>
        <v/>
      </c>
      <c r="AB199" s="19">
        <f>MA_ProForma!AL43</f>
        <v/>
      </c>
      <c r="AC199" s="19">
        <f>MA_ProForma!AN43</f>
        <v/>
      </c>
      <c r="AD199" s="19">
        <f>MA_ProForma!AO43</f>
        <v/>
      </c>
    </row>
    <row r="200">
      <c r="A200" s="5" t="inlineStr">
        <is>
          <t>out_pf_pb_cash</t>
        </is>
      </c>
      <c r="B200" s="5" t="inlineStr">
        <is>
          <t>MA_ProForma: Cash</t>
        </is>
      </c>
      <c r="C200" s="2" t="inlineStr">
        <is>
          <t>GBP k</t>
        </is>
      </c>
      <c r="D200" s="19">
        <f>MA_ProForma!N77</f>
        <v/>
      </c>
      <c r="E200" s="19">
        <f>MA_ProForma!O77</f>
        <v/>
      </c>
      <c r="F200" s="19">
        <f>MA_ProForma!P77</f>
        <v/>
      </c>
      <c r="G200" s="19">
        <f>MA_ProForma!Q77</f>
        <v/>
      </c>
      <c r="H200" s="19">
        <f>MA_ProForma!R77</f>
        <v/>
      </c>
      <c r="I200" s="19">
        <f>MA_ProForma!S77</f>
        <v/>
      </c>
      <c r="J200" s="19">
        <f>MA_ProForma!T77</f>
        <v/>
      </c>
      <c r="K200" s="19">
        <f>MA_ProForma!U77</f>
        <v/>
      </c>
      <c r="L200" s="19">
        <f>MA_ProForma!V77</f>
        <v/>
      </c>
      <c r="M200" s="19">
        <f>MA_ProForma!W77</f>
        <v/>
      </c>
      <c r="N200" s="19">
        <f>MA_ProForma!X77</f>
        <v/>
      </c>
      <c r="O200" s="19">
        <f>MA_ProForma!Y77</f>
        <v/>
      </c>
      <c r="P200" s="19">
        <f>MA_ProForma!Z77</f>
        <v/>
      </c>
      <c r="Q200" s="19">
        <f>MA_ProForma!AA77</f>
        <v/>
      </c>
      <c r="R200" s="19">
        <f>MA_ProForma!AB77</f>
        <v/>
      </c>
      <c r="S200" s="19">
        <f>MA_ProForma!AC77</f>
        <v/>
      </c>
      <c r="T200" s="19">
        <f>MA_ProForma!AD77</f>
        <v/>
      </c>
      <c r="U200" s="19">
        <f>MA_ProForma!AE77</f>
        <v/>
      </c>
      <c r="V200" s="19">
        <f>MA_ProForma!AF77</f>
        <v/>
      </c>
      <c r="W200" s="19">
        <f>MA_ProForma!AG77</f>
        <v/>
      </c>
      <c r="X200" s="19">
        <f>MA_ProForma!AH77</f>
        <v/>
      </c>
      <c r="Y200" s="19">
        <f>MA_ProForma!AI77</f>
        <v/>
      </c>
      <c r="Z200" s="19">
        <f>MA_ProForma!AJ77</f>
        <v/>
      </c>
      <c r="AA200" s="19">
        <f>MA_ProForma!AK77</f>
        <v/>
      </c>
      <c r="AB200" s="19">
        <f>MA_ProForma!AL77</f>
        <v/>
      </c>
      <c r="AC200" s="19">
        <f>MA_ProForma!AN77</f>
        <v/>
      </c>
      <c r="AD200" s="19">
        <f>MA_ProForma!AO77</f>
        <v/>
      </c>
    </row>
    <row r="201">
      <c r="A201" s="5" t="inlineStr">
        <is>
          <t>out_pf_pb_ar</t>
        </is>
      </c>
      <c r="B201" s="5" t="inlineStr">
        <is>
          <t>MA_ProForma: Trade receivables</t>
        </is>
      </c>
      <c r="C201" s="2" t="inlineStr">
        <is>
          <t>GBP k</t>
        </is>
      </c>
      <c r="D201" s="19">
        <f>MA_ProForma!N78</f>
        <v/>
      </c>
      <c r="E201" s="19">
        <f>MA_ProForma!O78</f>
        <v/>
      </c>
      <c r="F201" s="19">
        <f>MA_ProForma!P78</f>
        <v/>
      </c>
      <c r="G201" s="19">
        <f>MA_ProForma!Q78</f>
        <v/>
      </c>
      <c r="H201" s="19">
        <f>MA_ProForma!R78</f>
        <v/>
      </c>
      <c r="I201" s="19">
        <f>MA_ProForma!S78</f>
        <v/>
      </c>
      <c r="J201" s="19">
        <f>MA_ProForma!T78</f>
        <v/>
      </c>
      <c r="K201" s="19">
        <f>MA_ProForma!U78</f>
        <v/>
      </c>
      <c r="L201" s="19">
        <f>MA_ProForma!V78</f>
        <v/>
      </c>
      <c r="M201" s="19">
        <f>MA_ProForma!W78</f>
        <v/>
      </c>
      <c r="N201" s="19">
        <f>MA_ProForma!X78</f>
        <v/>
      </c>
      <c r="O201" s="19">
        <f>MA_ProForma!Y78</f>
        <v/>
      </c>
      <c r="P201" s="19">
        <f>MA_ProForma!Z78</f>
        <v/>
      </c>
      <c r="Q201" s="19">
        <f>MA_ProForma!AA78</f>
        <v/>
      </c>
      <c r="R201" s="19">
        <f>MA_ProForma!AB78</f>
        <v/>
      </c>
      <c r="S201" s="19">
        <f>MA_ProForma!AC78</f>
        <v/>
      </c>
      <c r="T201" s="19">
        <f>MA_ProForma!AD78</f>
        <v/>
      </c>
      <c r="U201" s="19">
        <f>MA_ProForma!AE78</f>
        <v/>
      </c>
      <c r="V201" s="19">
        <f>MA_ProForma!AF78</f>
        <v/>
      </c>
      <c r="W201" s="19">
        <f>MA_ProForma!AG78</f>
        <v/>
      </c>
      <c r="X201" s="19">
        <f>MA_ProForma!AH78</f>
        <v/>
      </c>
      <c r="Y201" s="19">
        <f>MA_ProForma!AI78</f>
        <v/>
      </c>
      <c r="Z201" s="19">
        <f>MA_ProForma!AJ78</f>
        <v/>
      </c>
      <c r="AA201" s="19">
        <f>MA_ProForma!AK78</f>
        <v/>
      </c>
      <c r="AB201" s="19">
        <f>MA_ProForma!AL78</f>
        <v/>
      </c>
      <c r="AC201" s="19">
        <f>MA_ProForma!AN78</f>
        <v/>
      </c>
      <c r="AD201" s="19">
        <f>MA_ProForma!AO78</f>
        <v/>
      </c>
    </row>
    <row r="202">
      <c r="A202" s="5" t="inlineStr">
        <is>
          <t>out_pf_pb_ppe</t>
        </is>
      </c>
      <c r="B202" s="5" t="inlineStr">
        <is>
          <t>MA_ProForma: PP&amp;E</t>
        </is>
      </c>
      <c r="C202" s="2" t="inlineStr">
        <is>
          <t>GBP k</t>
        </is>
      </c>
      <c r="D202" s="19">
        <f>MA_ProForma!N79</f>
        <v/>
      </c>
      <c r="E202" s="19">
        <f>MA_ProForma!O79</f>
        <v/>
      </c>
      <c r="F202" s="19">
        <f>MA_ProForma!P79</f>
        <v/>
      </c>
      <c r="G202" s="19">
        <f>MA_ProForma!Q79</f>
        <v/>
      </c>
      <c r="H202" s="19">
        <f>MA_ProForma!R79</f>
        <v/>
      </c>
      <c r="I202" s="19">
        <f>MA_ProForma!S79</f>
        <v/>
      </c>
      <c r="J202" s="19">
        <f>MA_ProForma!T79</f>
        <v/>
      </c>
      <c r="K202" s="19">
        <f>MA_ProForma!U79</f>
        <v/>
      </c>
      <c r="L202" s="19">
        <f>MA_ProForma!V79</f>
        <v/>
      </c>
      <c r="M202" s="19">
        <f>MA_ProForma!W79</f>
        <v/>
      </c>
      <c r="N202" s="19">
        <f>MA_ProForma!X79</f>
        <v/>
      </c>
      <c r="O202" s="19">
        <f>MA_ProForma!Y79</f>
        <v/>
      </c>
      <c r="P202" s="19">
        <f>MA_ProForma!Z79</f>
        <v/>
      </c>
      <c r="Q202" s="19">
        <f>MA_ProForma!AA79</f>
        <v/>
      </c>
      <c r="R202" s="19">
        <f>MA_ProForma!AB79</f>
        <v/>
      </c>
      <c r="S202" s="19">
        <f>MA_ProForma!AC79</f>
        <v/>
      </c>
      <c r="T202" s="19">
        <f>MA_ProForma!AD79</f>
        <v/>
      </c>
      <c r="U202" s="19">
        <f>MA_ProForma!AE79</f>
        <v/>
      </c>
      <c r="V202" s="19">
        <f>MA_ProForma!AF79</f>
        <v/>
      </c>
      <c r="W202" s="19">
        <f>MA_ProForma!AG79</f>
        <v/>
      </c>
      <c r="X202" s="19">
        <f>MA_ProForma!AH79</f>
        <v/>
      </c>
      <c r="Y202" s="19">
        <f>MA_ProForma!AI79</f>
        <v/>
      </c>
      <c r="Z202" s="19">
        <f>MA_ProForma!AJ79</f>
        <v/>
      </c>
      <c r="AA202" s="19">
        <f>MA_ProForma!AK79</f>
        <v/>
      </c>
      <c r="AB202" s="19">
        <f>MA_ProForma!AL79</f>
        <v/>
      </c>
      <c r="AC202" s="19">
        <f>MA_ProForma!AN79</f>
        <v/>
      </c>
      <c r="AD202" s="19">
        <f>MA_ProForma!AO79</f>
        <v/>
      </c>
    </row>
    <row r="203">
      <c r="A203" s="5" t="inlineStr">
        <is>
          <t>out_pf_pb_cca</t>
        </is>
      </c>
      <c r="B203" s="5" t="inlineStr">
        <is>
          <t>MA_ProForma: Capitalised contract costs</t>
        </is>
      </c>
      <c r="C203" s="2" t="inlineStr">
        <is>
          <t>GBP k</t>
        </is>
      </c>
      <c r="D203" s="19">
        <f>MA_ProForma!N80</f>
        <v/>
      </c>
      <c r="E203" s="19">
        <f>MA_ProForma!O80</f>
        <v/>
      </c>
      <c r="F203" s="19">
        <f>MA_ProForma!P80</f>
        <v/>
      </c>
      <c r="G203" s="19">
        <f>MA_ProForma!Q80</f>
        <v/>
      </c>
      <c r="H203" s="19">
        <f>MA_ProForma!R80</f>
        <v/>
      </c>
      <c r="I203" s="19">
        <f>MA_ProForma!S80</f>
        <v/>
      </c>
      <c r="J203" s="19">
        <f>MA_ProForma!T80</f>
        <v/>
      </c>
      <c r="K203" s="19">
        <f>MA_ProForma!U80</f>
        <v/>
      </c>
      <c r="L203" s="19">
        <f>MA_ProForma!V80</f>
        <v/>
      </c>
      <c r="M203" s="19">
        <f>MA_ProForma!W80</f>
        <v/>
      </c>
      <c r="N203" s="19">
        <f>MA_ProForma!X80</f>
        <v/>
      </c>
      <c r="O203" s="19">
        <f>MA_ProForma!Y80</f>
        <v/>
      </c>
      <c r="P203" s="19">
        <f>MA_ProForma!Z80</f>
        <v/>
      </c>
      <c r="Q203" s="19">
        <f>MA_ProForma!AA80</f>
        <v/>
      </c>
      <c r="R203" s="19">
        <f>MA_ProForma!AB80</f>
        <v/>
      </c>
      <c r="S203" s="19">
        <f>MA_ProForma!AC80</f>
        <v/>
      </c>
      <c r="T203" s="19">
        <f>MA_ProForma!AD80</f>
        <v/>
      </c>
      <c r="U203" s="19">
        <f>MA_ProForma!AE80</f>
        <v/>
      </c>
      <c r="V203" s="19">
        <f>MA_ProForma!AF80</f>
        <v/>
      </c>
      <c r="W203" s="19">
        <f>MA_ProForma!AG80</f>
        <v/>
      </c>
      <c r="X203" s="19">
        <f>MA_ProForma!AH80</f>
        <v/>
      </c>
      <c r="Y203" s="19">
        <f>MA_ProForma!AI80</f>
        <v/>
      </c>
      <c r="Z203" s="19">
        <f>MA_ProForma!AJ80</f>
        <v/>
      </c>
      <c r="AA203" s="19">
        <f>MA_ProForma!AK80</f>
        <v/>
      </c>
      <c r="AB203" s="19">
        <f>MA_ProForma!AL80</f>
        <v/>
      </c>
      <c r="AC203" s="19">
        <f>MA_ProForma!AN80</f>
        <v/>
      </c>
      <c r="AD203" s="19">
        <f>MA_ProForma!AO80</f>
        <v/>
      </c>
    </row>
    <row r="204">
      <c r="A204" s="5" t="inlineStr">
        <is>
          <t>out_pf_pb_int</t>
        </is>
      </c>
      <c r="B204" s="5" t="inlineStr">
        <is>
          <t>MA_ProForma: Acquired intangibles (net)</t>
        </is>
      </c>
      <c r="C204" s="2" t="inlineStr">
        <is>
          <t>GBP k</t>
        </is>
      </c>
      <c r="D204" s="19">
        <f>MA_ProForma!N81</f>
        <v/>
      </c>
      <c r="E204" s="19">
        <f>MA_ProForma!O81</f>
        <v/>
      </c>
      <c r="F204" s="19">
        <f>MA_ProForma!P81</f>
        <v/>
      </c>
      <c r="G204" s="19">
        <f>MA_ProForma!Q81</f>
        <v/>
      </c>
      <c r="H204" s="19">
        <f>MA_ProForma!R81</f>
        <v/>
      </c>
      <c r="I204" s="19">
        <f>MA_ProForma!S81</f>
        <v/>
      </c>
      <c r="J204" s="19">
        <f>MA_ProForma!T81</f>
        <v/>
      </c>
      <c r="K204" s="19">
        <f>MA_ProForma!U81</f>
        <v/>
      </c>
      <c r="L204" s="19">
        <f>MA_ProForma!V81</f>
        <v/>
      </c>
      <c r="M204" s="19">
        <f>MA_ProForma!W81</f>
        <v/>
      </c>
      <c r="N204" s="19">
        <f>MA_ProForma!X81</f>
        <v/>
      </c>
      <c r="O204" s="19">
        <f>MA_ProForma!Y81</f>
        <v/>
      </c>
      <c r="P204" s="19">
        <f>MA_ProForma!Z81</f>
        <v/>
      </c>
      <c r="Q204" s="19">
        <f>MA_ProForma!AA81</f>
        <v/>
      </c>
      <c r="R204" s="19">
        <f>MA_ProForma!AB81</f>
        <v/>
      </c>
      <c r="S204" s="19">
        <f>MA_ProForma!AC81</f>
        <v/>
      </c>
      <c r="T204" s="19">
        <f>MA_ProForma!AD81</f>
        <v/>
      </c>
      <c r="U204" s="19">
        <f>MA_ProForma!AE81</f>
        <v/>
      </c>
      <c r="V204" s="19">
        <f>MA_ProForma!AF81</f>
        <v/>
      </c>
      <c r="W204" s="19">
        <f>MA_ProForma!AG81</f>
        <v/>
      </c>
      <c r="X204" s="19">
        <f>MA_ProForma!AH81</f>
        <v/>
      </c>
      <c r="Y204" s="19">
        <f>MA_ProForma!AI81</f>
        <v/>
      </c>
      <c r="Z204" s="19">
        <f>MA_ProForma!AJ81</f>
        <v/>
      </c>
      <c r="AA204" s="19">
        <f>MA_ProForma!AK81</f>
        <v/>
      </c>
      <c r="AB204" s="19">
        <f>MA_ProForma!AL81</f>
        <v/>
      </c>
      <c r="AC204" s="19">
        <f>MA_ProForma!AN81</f>
        <v/>
      </c>
      <c r="AD204" s="19">
        <f>MA_ProForma!AO81</f>
        <v/>
      </c>
    </row>
    <row r="205">
      <c r="A205" s="5" t="inlineStr">
        <is>
          <t>out_pf_pb_gw</t>
        </is>
      </c>
      <c r="B205" s="5" t="inlineStr">
        <is>
          <t>MA_ProForma: Goodwill</t>
        </is>
      </c>
      <c r="C205" s="2" t="inlineStr">
        <is>
          <t>GBP k</t>
        </is>
      </c>
      <c r="D205" s="19">
        <f>MA_ProForma!N82</f>
        <v/>
      </c>
      <c r="E205" s="19">
        <f>MA_ProForma!O82</f>
        <v/>
      </c>
      <c r="F205" s="19">
        <f>MA_ProForma!P82</f>
        <v/>
      </c>
      <c r="G205" s="19">
        <f>MA_ProForma!Q82</f>
        <v/>
      </c>
      <c r="H205" s="19">
        <f>MA_ProForma!R82</f>
        <v/>
      </c>
      <c r="I205" s="19">
        <f>MA_ProForma!S82</f>
        <v/>
      </c>
      <c r="J205" s="19">
        <f>MA_ProForma!T82</f>
        <v/>
      </c>
      <c r="K205" s="19">
        <f>MA_ProForma!U82</f>
        <v/>
      </c>
      <c r="L205" s="19">
        <f>MA_ProForma!V82</f>
        <v/>
      </c>
      <c r="M205" s="19">
        <f>MA_ProForma!W82</f>
        <v/>
      </c>
      <c r="N205" s="19">
        <f>MA_ProForma!X82</f>
        <v/>
      </c>
      <c r="O205" s="19">
        <f>MA_ProForma!Y82</f>
        <v/>
      </c>
      <c r="P205" s="19">
        <f>MA_ProForma!Z82</f>
        <v/>
      </c>
      <c r="Q205" s="19">
        <f>MA_ProForma!AA82</f>
        <v/>
      </c>
      <c r="R205" s="19">
        <f>MA_ProForma!AB82</f>
        <v/>
      </c>
      <c r="S205" s="19">
        <f>MA_ProForma!AC82</f>
        <v/>
      </c>
      <c r="T205" s="19">
        <f>MA_ProForma!AD82</f>
        <v/>
      </c>
      <c r="U205" s="19">
        <f>MA_ProForma!AE82</f>
        <v/>
      </c>
      <c r="V205" s="19">
        <f>MA_ProForma!AF82</f>
        <v/>
      </c>
      <c r="W205" s="19">
        <f>MA_ProForma!AG82</f>
        <v/>
      </c>
      <c r="X205" s="19">
        <f>MA_ProForma!AH82</f>
        <v/>
      </c>
      <c r="Y205" s="19">
        <f>MA_ProForma!AI82</f>
        <v/>
      </c>
      <c r="Z205" s="19">
        <f>MA_ProForma!AJ82</f>
        <v/>
      </c>
      <c r="AA205" s="19">
        <f>MA_ProForma!AK82</f>
        <v/>
      </c>
      <c r="AB205" s="19">
        <f>MA_ProForma!AL82</f>
        <v/>
      </c>
      <c r="AC205" s="19">
        <f>MA_ProForma!AN82</f>
        <v/>
      </c>
      <c r="AD205" s="19">
        <f>MA_ProForma!AO82</f>
        <v/>
      </c>
    </row>
    <row r="206">
      <c r="A206" s="5" t="inlineStr">
        <is>
          <t>out_pf_pb_ta</t>
        </is>
      </c>
      <c r="B206" s="5" t="inlineStr">
        <is>
          <t>MA_ProForma: Total assets</t>
        </is>
      </c>
      <c r="C206" s="2" t="inlineStr">
        <is>
          <t>GBP k</t>
        </is>
      </c>
      <c r="D206" s="19">
        <f>MA_ProForma!N83</f>
        <v/>
      </c>
      <c r="E206" s="19">
        <f>MA_ProForma!O83</f>
        <v/>
      </c>
      <c r="F206" s="19">
        <f>MA_ProForma!P83</f>
        <v/>
      </c>
      <c r="G206" s="19">
        <f>MA_ProForma!Q83</f>
        <v/>
      </c>
      <c r="H206" s="19">
        <f>MA_ProForma!R83</f>
        <v/>
      </c>
      <c r="I206" s="19">
        <f>MA_ProForma!S83</f>
        <v/>
      </c>
      <c r="J206" s="19">
        <f>MA_ProForma!T83</f>
        <v/>
      </c>
      <c r="K206" s="19">
        <f>MA_ProForma!U83</f>
        <v/>
      </c>
      <c r="L206" s="19">
        <f>MA_ProForma!V83</f>
        <v/>
      </c>
      <c r="M206" s="19">
        <f>MA_ProForma!W83</f>
        <v/>
      </c>
      <c r="N206" s="19">
        <f>MA_ProForma!X83</f>
        <v/>
      </c>
      <c r="O206" s="19">
        <f>MA_ProForma!Y83</f>
        <v/>
      </c>
      <c r="P206" s="19">
        <f>MA_ProForma!Z83</f>
        <v/>
      </c>
      <c r="Q206" s="19">
        <f>MA_ProForma!AA83</f>
        <v/>
      </c>
      <c r="R206" s="19">
        <f>MA_ProForma!AB83</f>
        <v/>
      </c>
      <c r="S206" s="19">
        <f>MA_ProForma!AC83</f>
        <v/>
      </c>
      <c r="T206" s="19">
        <f>MA_ProForma!AD83</f>
        <v/>
      </c>
      <c r="U206" s="19">
        <f>MA_ProForma!AE83</f>
        <v/>
      </c>
      <c r="V206" s="19">
        <f>MA_ProForma!AF83</f>
        <v/>
      </c>
      <c r="W206" s="19">
        <f>MA_ProForma!AG83</f>
        <v/>
      </c>
      <c r="X206" s="19">
        <f>MA_ProForma!AH83</f>
        <v/>
      </c>
      <c r="Y206" s="19">
        <f>MA_ProForma!AI83</f>
        <v/>
      </c>
      <c r="Z206" s="19">
        <f>MA_ProForma!AJ83</f>
        <v/>
      </c>
      <c r="AA206" s="19">
        <f>MA_ProForma!AK83</f>
        <v/>
      </c>
      <c r="AB206" s="19">
        <f>MA_ProForma!AL83</f>
        <v/>
      </c>
      <c r="AC206" s="19">
        <f>MA_ProForma!AN83</f>
        <v/>
      </c>
      <c r="AD206" s="19">
        <f>MA_ProForma!AO83</f>
        <v/>
      </c>
    </row>
    <row r="207">
      <c r="A207" s="5" t="inlineStr">
        <is>
          <t>out_pf_pb_ap</t>
        </is>
      </c>
      <c r="B207" s="5" t="inlineStr">
        <is>
          <t>MA_ProForma: Trade payables</t>
        </is>
      </c>
      <c r="C207" s="2" t="inlineStr">
        <is>
          <t>GBP k</t>
        </is>
      </c>
      <c r="D207" s="19">
        <f>MA_ProForma!N84</f>
        <v/>
      </c>
      <c r="E207" s="19">
        <f>MA_ProForma!O84</f>
        <v/>
      </c>
      <c r="F207" s="19">
        <f>MA_ProForma!P84</f>
        <v/>
      </c>
      <c r="G207" s="19">
        <f>MA_ProForma!Q84</f>
        <v/>
      </c>
      <c r="H207" s="19">
        <f>MA_ProForma!R84</f>
        <v/>
      </c>
      <c r="I207" s="19">
        <f>MA_ProForma!S84</f>
        <v/>
      </c>
      <c r="J207" s="19">
        <f>MA_ProForma!T84</f>
        <v/>
      </c>
      <c r="K207" s="19">
        <f>MA_ProForma!U84</f>
        <v/>
      </c>
      <c r="L207" s="19">
        <f>MA_ProForma!V84</f>
        <v/>
      </c>
      <c r="M207" s="19">
        <f>MA_ProForma!W84</f>
        <v/>
      </c>
      <c r="N207" s="19">
        <f>MA_ProForma!X84</f>
        <v/>
      </c>
      <c r="O207" s="19">
        <f>MA_ProForma!Y84</f>
        <v/>
      </c>
      <c r="P207" s="19">
        <f>MA_ProForma!Z84</f>
        <v/>
      </c>
      <c r="Q207" s="19">
        <f>MA_ProForma!AA84</f>
        <v/>
      </c>
      <c r="R207" s="19">
        <f>MA_ProForma!AB84</f>
        <v/>
      </c>
      <c r="S207" s="19">
        <f>MA_ProForma!AC84</f>
        <v/>
      </c>
      <c r="T207" s="19">
        <f>MA_ProForma!AD84</f>
        <v/>
      </c>
      <c r="U207" s="19">
        <f>MA_ProForma!AE84</f>
        <v/>
      </c>
      <c r="V207" s="19">
        <f>MA_ProForma!AF84</f>
        <v/>
      </c>
      <c r="W207" s="19">
        <f>MA_ProForma!AG84</f>
        <v/>
      </c>
      <c r="X207" s="19">
        <f>MA_ProForma!AH84</f>
        <v/>
      </c>
      <c r="Y207" s="19">
        <f>MA_ProForma!AI84</f>
        <v/>
      </c>
      <c r="Z207" s="19">
        <f>MA_ProForma!AJ84</f>
        <v/>
      </c>
      <c r="AA207" s="19">
        <f>MA_ProForma!AK84</f>
        <v/>
      </c>
      <c r="AB207" s="19">
        <f>MA_ProForma!AL84</f>
        <v/>
      </c>
      <c r="AC207" s="19">
        <f>MA_ProForma!AN84</f>
        <v/>
      </c>
      <c r="AD207" s="19">
        <f>MA_ProForma!AO84</f>
        <v/>
      </c>
    </row>
    <row r="208">
      <c r="A208" s="5" t="inlineStr">
        <is>
          <t>out_pf_pb_dr</t>
        </is>
      </c>
      <c r="B208" s="5" t="inlineStr">
        <is>
          <t>MA_ProForma: Deferred revenue (net of write-down)</t>
        </is>
      </c>
      <c r="C208" s="2" t="inlineStr">
        <is>
          <t>GBP k</t>
        </is>
      </c>
      <c r="D208" s="19">
        <f>MA_ProForma!N86</f>
        <v/>
      </c>
      <c r="E208" s="19">
        <f>MA_ProForma!O86</f>
        <v/>
      </c>
      <c r="F208" s="19">
        <f>MA_ProForma!P86</f>
        <v/>
      </c>
      <c r="G208" s="19">
        <f>MA_ProForma!Q86</f>
        <v/>
      </c>
      <c r="H208" s="19">
        <f>MA_ProForma!R86</f>
        <v/>
      </c>
      <c r="I208" s="19">
        <f>MA_ProForma!S86</f>
        <v/>
      </c>
      <c r="J208" s="19">
        <f>MA_ProForma!T86</f>
        <v/>
      </c>
      <c r="K208" s="19">
        <f>MA_ProForma!U86</f>
        <v/>
      </c>
      <c r="L208" s="19">
        <f>MA_ProForma!V86</f>
        <v/>
      </c>
      <c r="M208" s="19">
        <f>MA_ProForma!W86</f>
        <v/>
      </c>
      <c r="N208" s="19">
        <f>MA_ProForma!X86</f>
        <v/>
      </c>
      <c r="O208" s="19">
        <f>MA_ProForma!Y86</f>
        <v/>
      </c>
      <c r="P208" s="19">
        <f>MA_ProForma!Z86</f>
        <v/>
      </c>
      <c r="Q208" s="19">
        <f>MA_ProForma!AA86</f>
        <v/>
      </c>
      <c r="R208" s="19">
        <f>MA_ProForma!AB86</f>
        <v/>
      </c>
      <c r="S208" s="19">
        <f>MA_ProForma!AC86</f>
        <v/>
      </c>
      <c r="T208" s="19">
        <f>MA_ProForma!AD86</f>
        <v/>
      </c>
      <c r="U208" s="19">
        <f>MA_ProForma!AE86</f>
        <v/>
      </c>
      <c r="V208" s="19">
        <f>MA_ProForma!AF86</f>
        <v/>
      </c>
      <c r="W208" s="19">
        <f>MA_ProForma!AG86</f>
        <v/>
      </c>
      <c r="X208" s="19">
        <f>MA_ProForma!AH86</f>
        <v/>
      </c>
      <c r="Y208" s="19">
        <f>MA_ProForma!AI86</f>
        <v/>
      </c>
      <c r="Z208" s="19">
        <f>MA_ProForma!AJ86</f>
        <v/>
      </c>
      <c r="AA208" s="19">
        <f>MA_ProForma!AK86</f>
        <v/>
      </c>
      <c r="AB208" s="19">
        <f>MA_ProForma!AL86</f>
        <v/>
      </c>
      <c r="AC208" s="19">
        <f>MA_ProForma!AN86</f>
        <v/>
      </c>
      <c r="AD208" s="19">
        <f>MA_ProForma!AO86</f>
        <v/>
      </c>
    </row>
    <row r="209">
      <c r="A209" s="5" t="inlineStr">
        <is>
          <t>out_pf_pb_loan</t>
        </is>
      </c>
      <c r="B209" s="5" t="inlineStr">
        <is>
          <t>MA_ProForma: Acquisition loan</t>
        </is>
      </c>
      <c r="C209" s="2" t="inlineStr">
        <is>
          <t>GBP k</t>
        </is>
      </c>
      <c r="D209" s="19">
        <f>MA_ProForma!N87</f>
        <v/>
      </c>
      <c r="E209" s="19">
        <f>MA_ProForma!O87</f>
        <v/>
      </c>
      <c r="F209" s="19">
        <f>MA_ProForma!P87</f>
        <v/>
      </c>
      <c r="G209" s="19">
        <f>MA_ProForma!Q87</f>
        <v/>
      </c>
      <c r="H209" s="19">
        <f>MA_ProForma!R87</f>
        <v/>
      </c>
      <c r="I209" s="19">
        <f>MA_ProForma!S87</f>
        <v/>
      </c>
      <c r="J209" s="19">
        <f>MA_ProForma!T87</f>
        <v/>
      </c>
      <c r="K209" s="19">
        <f>MA_ProForma!U87</f>
        <v/>
      </c>
      <c r="L209" s="19">
        <f>MA_ProForma!V87</f>
        <v/>
      </c>
      <c r="M209" s="19">
        <f>MA_ProForma!W87</f>
        <v/>
      </c>
      <c r="N209" s="19">
        <f>MA_ProForma!X87</f>
        <v/>
      </c>
      <c r="O209" s="19">
        <f>MA_ProForma!Y87</f>
        <v/>
      </c>
      <c r="P209" s="19">
        <f>MA_ProForma!Z87</f>
        <v/>
      </c>
      <c r="Q209" s="19">
        <f>MA_ProForma!AA87</f>
        <v/>
      </c>
      <c r="R209" s="19">
        <f>MA_ProForma!AB87</f>
        <v/>
      </c>
      <c r="S209" s="19">
        <f>MA_ProForma!AC87</f>
        <v/>
      </c>
      <c r="T209" s="19">
        <f>MA_ProForma!AD87</f>
        <v/>
      </c>
      <c r="U209" s="19">
        <f>MA_ProForma!AE87</f>
        <v/>
      </c>
      <c r="V209" s="19">
        <f>MA_ProForma!AF87</f>
        <v/>
      </c>
      <c r="W209" s="19">
        <f>MA_ProForma!AG87</f>
        <v/>
      </c>
      <c r="X209" s="19">
        <f>MA_ProForma!AH87</f>
        <v/>
      </c>
      <c r="Y209" s="19">
        <f>MA_ProForma!AI87</f>
        <v/>
      </c>
      <c r="Z209" s="19">
        <f>MA_ProForma!AJ87</f>
        <v/>
      </c>
      <c r="AA209" s="19">
        <f>MA_ProForma!AK87</f>
        <v/>
      </c>
      <c r="AB209" s="19">
        <f>MA_ProForma!AL87</f>
        <v/>
      </c>
      <c r="AC209" s="19">
        <f>MA_ProForma!AN87</f>
        <v/>
      </c>
      <c r="AD209" s="19">
        <f>MA_ProForma!AO87</f>
        <v/>
      </c>
    </row>
    <row r="210">
      <c r="A210" s="5" t="inlineStr">
        <is>
          <t>out_pf_pb_dtl</t>
        </is>
      </c>
      <c r="B210" s="5" t="inlineStr">
        <is>
          <t>MA_ProForma: Deferred tax liability</t>
        </is>
      </c>
      <c r="C210" s="2" t="inlineStr">
        <is>
          <t>GBP k</t>
        </is>
      </c>
      <c r="D210" s="19">
        <f>MA_ProForma!N88</f>
        <v/>
      </c>
      <c r="E210" s="19">
        <f>MA_ProForma!O88</f>
        <v/>
      </c>
      <c r="F210" s="19">
        <f>MA_ProForma!P88</f>
        <v/>
      </c>
      <c r="G210" s="19">
        <f>MA_ProForma!Q88</f>
        <v/>
      </c>
      <c r="H210" s="19">
        <f>MA_ProForma!R88</f>
        <v/>
      </c>
      <c r="I210" s="19">
        <f>MA_ProForma!S88</f>
        <v/>
      </c>
      <c r="J210" s="19">
        <f>MA_ProForma!T88</f>
        <v/>
      </c>
      <c r="K210" s="19">
        <f>MA_ProForma!U88</f>
        <v/>
      </c>
      <c r="L210" s="19">
        <f>MA_ProForma!V88</f>
        <v/>
      </c>
      <c r="M210" s="19">
        <f>MA_ProForma!W88</f>
        <v/>
      </c>
      <c r="N210" s="19">
        <f>MA_ProForma!X88</f>
        <v/>
      </c>
      <c r="O210" s="19">
        <f>MA_ProForma!Y88</f>
        <v/>
      </c>
      <c r="P210" s="19">
        <f>MA_ProForma!Z88</f>
        <v/>
      </c>
      <c r="Q210" s="19">
        <f>MA_ProForma!AA88</f>
        <v/>
      </c>
      <c r="R210" s="19">
        <f>MA_ProForma!AB88</f>
        <v/>
      </c>
      <c r="S210" s="19">
        <f>MA_ProForma!AC88</f>
        <v/>
      </c>
      <c r="T210" s="19">
        <f>MA_ProForma!AD88</f>
        <v/>
      </c>
      <c r="U210" s="19">
        <f>MA_ProForma!AE88</f>
        <v/>
      </c>
      <c r="V210" s="19">
        <f>MA_ProForma!AF88</f>
        <v/>
      </c>
      <c r="W210" s="19">
        <f>MA_ProForma!AG88</f>
        <v/>
      </c>
      <c r="X210" s="19">
        <f>MA_ProForma!AH88</f>
        <v/>
      </c>
      <c r="Y210" s="19">
        <f>MA_ProForma!AI88</f>
        <v/>
      </c>
      <c r="Z210" s="19">
        <f>MA_ProForma!AJ88</f>
        <v/>
      </c>
      <c r="AA210" s="19">
        <f>MA_ProForma!AK88</f>
        <v/>
      </c>
      <c r="AB210" s="19">
        <f>MA_ProForma!AL88</f>
        <v/>
      </c>
      <c r="AC210" s="19">
        <f>MA_ProForma!AN88</f>
        <v/>
      </c>
      <c r="AD210" s="19">
        <f>MA_ProForma!AO88</f>
        <v/>
      </c>
    </row>
    <row r="211">
      <c r="A211" s="5" t="inlineStr">
        <is>
          <t>out_pf_pb_tl</t>
        </is>
      </c>
      <c r="B211" s="5" t="inlineStr">
        <is>
          <t>MA_ProForma: Total liabilities</t>
        </is>
      </c>
      <c r="C211" s="2" t="inlineStr">
        <is>
          <t>GBP k</t>
        </is>
      </c>
      <c r="D211" s="19">
        <f>MA_ProForma!N89</f>
        <v/>
      </c>
      <c r="E211" s="19">
        <f>MA_ProForma!O89</f>
        <v/>
      </c>
      <c r="F211" s="19">
        <f>MA_ProForma!P89</f>
        <v/>
      </c>
      <c r="G211" s="19">
        <f>MA_ProForma!Q89</f>
        <v/>
      </c>
      <c r="H211" s="19">
        <f>MA_ProForma!R89</f>
        <v/>
      </c>
      <c r="I211" s="19">
        <f>MA_ProForma!S89</f>
        <v/>
      </c>
      <c r="J211" s="19">
        <f>MA_ProForma!T89</f>
        <v/>
      </c>
      <c r="K211" s="19">
        <f>MA_ProForma!U89</f>
        <v/>
      </c>
      <c r="L211" s="19">
        <f>MA_ProForma!V89</f>
        <v/>
      </c>
      <c r="M211" s="19">
        <f>MA_ProForma!W89</f>
        <v/>
      </c>
      <c r="N211" s="19">
        <f>MA_ProForma!X89</f>
        <v/>
      </c>
      <c r="O211" s="19">
        <f>MA_ProForma!Y89</f>
        <v/>
      </c>
      <c r="P211" s="19">
        <f>MA_ProForma!Z89</f>
        <v/>
      </c>
      <c r="Q211" s="19">
        <f>MA_ProForma!AA89</f>
        <v/>
      </c>
      <c r="R211" s="19">
        <f>MA_ProForma!AB89</f>
        <v/>
      </c>
      <c r="S211" s="19">
        <f>MA_ProForma!AC89</f>
        <v/>
      </c>
      <c r="T211" s="19">
        <f>MA_ProForma!AD89</f>
        <v/>
      </c>
      <c r="U211" s="19">
        <f>MA_ProForma!AE89</f>
        <v/>
      </c>
      <c r="V211" s="19">
        <f>MA_ProForma!AF89</f>
        <v/>
      </c>
      <c r="W211" s="19">
        <f>MA_ProForma!AG89</f>
        <v/>
      </c>
      <c r="X211" s="19">
        <f>MA_ProForma!AH89</f>
        <v/>
      </c>
      <c r="Y211" s="19">
        <f>MA_ProForma!AI89</f>
        <v/>
      </c>
      <c r="Z211" s="19">
        <f>MA_ProForma!AJ89</f>
        <v/>
      </c>
      <c r="AA211" s="19">
        <f>MA_ProForma!AK89</f>
        <v/>
      </c>
      <c r="AB211" s="19">
        <f>MA_ProForma!AL89</f>
        <v/>
      </c>
      <c r="AC211" s="19">
        <f>MA_ProForma!AN89</f>
        <v/>
      </c>
      <c r="AD211" s="19">
        <f>MA_ProForma!AO89</f>
        <v/>
      </c>
    </row>
    <row r="212">
      <c r="A212" s="5" t="inlineStr">
        <is>
          <t>out_pf_pb_eq</t>
        </is>
      </c>
      <c r="B212" s="5" t="inlineStr">
        <is>
          <t>MA_ProForma: Equity (Northgate opening equity + pro-forma net income)</t>
        </is>
      </c>
      <c r="C212" s="2" t="inlineStr">
        <is>
          <t>GBP k</t>
        </is>
      </c>
      <c r="D212" s="19">
        <f>MA_ProForma!N90</f>
        <v/>
      </c>
      <c r="E212" s="19">
        <f>MA_ProForma!O90</f>
        <v/>
      </c>
      <c r="F212" s="19">
        <f>MA_ProForma!P90</f>
        <v/>
      </c>
      <c r="G212" s="19">
        <f>MA_ProForma!Q90</f>
        <v/>
      </c>
      <c r="H212" s="19">
        <f>MA_ProForma!R90</f>
        <v/>
      </c>
      <c r="I212" s="19">
        <f>MA_ProForma!S90</f>
        <v/>
      </c>
      <c r="J212" s="19">
        <f>MA_ProForma!T90</f>
        <v/>
      </c>
      <c r="K212" s="19">
        <f>MA_ProForma!U90</f>
        <v/>
      </c>
      <c r="L212" s="19">
        <f>MA_ProForma!V90</f>
        <v/>
      </c>
      <c r="M212" s="19">
        <f>MA_ProForma!W90</f>
        <v/>
      </c>
      <c r="N212" s="19">
        <f>MA_ProForma!X90</f>
        <v/>
      </c>
      <c r="O212" s="19">
        <f>MA_ProForma!Y90</f>
        <v/>
      </c>
      <c r="P212" s="19">
        <f>MA_ProForma!Z90</f>
        <v/>
      </c>
      <c r="Q212" s="19">
        <f>MA_ProForma!AA90</f>
        <v/>
      </c>
      <c r="R212" s="19">
        <f>MA_ProForma!AB90</f>
        <v/>
      </c>
      <c r="S212" s="19">
        <f>MA_ProForma!AC90</f>
        <v/>
      </c>
      <c r="T212" s="19">
        <f>MA_ProForma!AD90</f>
        <v/>
      </c>
      <c r="U212" s="19">
        <f>MA_ProForma!AE90</f>
        <v/>
      </c>
      <c r="V212" s="19">
        <f>MA_ProForma!AF90</f>
        <v/>
      </c>
      <c r="W212" s="19">
        <f>MA_ProForma!AG90</f>
        <v/>
      </c>
      <c r="X212" s="19">
        <f>MA_ProForma!AH90</f>
        <v/>
      </c>
      <c r="Y212" s="19">
        <f>MA_ProForma!AI90</f>
        <v/>
      </c>
      <c r="Z212" s="19">
        <f>MA_ProForma!AJ90</f>
        <v/>
      </c>
      <c r="AA212" s="19">
        <f>MA_ProForma!AK90</f>
        <v/>
      </c>
      <c r="AB212" s="19">
        <f>MA_ProForma!AL90</f>
        <v/>
      </c>
      <c r="AC212" s="19">
        <f>MA_ProForma!AN90</f>
        <v/>
      </c>
      <c r="AD212" s="19">
        <f>MA_ProForma!AO90</f>
        <v/>
      </c>
    </row>
    <row r="213">
      <c r="A213" s="5" t="inlineStr">
        <is>
          <t>out_pf_pb_check</t>
        </is>
      </c>
      <c r="B213" s="5" t="inlineStr">
        <is>
          <t>MA_ProForma: Balance check</t>
        </is>
      </c>
      <c r="C213" s="2" t="inlineStr">
        <is>
          <t>GBP k</t>
        </is>
      </c>
      <c r="D213" s="76">
        <f>MA_ProForma!N91</f>
        <v/>
      </c>
      <c r="E213" s="76">
        <f>MA_ProForma!O91</f>
        <v/>
      </c>
      <c r="F213" s="76">
        <f>MA_ProForma!P91</f>
        <v/>
      </c>
      <c r="G213" s="76">
        <f>MA_ProForma!Q91</f>
        <v/>
      </c>
      <c r="H213" s="76">
        <f>MA_ProForma!R91</f>
        <v/>
      </c>
      <c r="I213" s="76">
        <f>MA_ProForma!S91</f>
        <v/>
      </c>
      <c r="J213" s="76">
        <f>MA_ProForma!T91</f>
        <v/>
      </c>
      <c r="K213" s="76">
        <f>MA_ProForma!U91</f>
        <v/>
      </c>
      <c r="L213" s="76">
        <f>MA_ProForma!V91</f>
        <v/>
      </c>
      <c r="M213" s="76">
        <f>MA_ProForma!W91</f>
        <v/>
      </c>
      <c r="N213" s="76">
        <f>MA_ProForma!X91</f>
        <v/>
      </c>
      <c r="O213" s="76">
        <f>MA_ProForma!Y91</f>
        <v/>
      </c>
      <c r="P213" s="76">
        <f>MA_ProForma!Z91</f>
        <v/>
      </c>
      <c r="Q213" s="76">
        <f>MA_ProForma!AA91</f>
        <v/>
      </c>
      <c r="R213" s="76">
        <f>MA_ProForma!AB91</f>
        <v/>
      </c>
      <c r="S213" s="76">
        <f>MA_ProForma!AC91</f>
        <v/>
      </c>
      <c r="T213" s="76">
        <f>MA_ProForma!AD91</f>
        <v/>
      </c>
      <c r="U213" s="76">
        <f>MA_ProForma!AE91</f>
        <v/>
      </c>
      <c r="V213" s="76">
        <f>MA_ProForma!AF91</f>
        <v/>
      </c>
      <c r="W213" s="76">
        <f>MA_ProForma!AG91</f>
        <v/>
      </c>
      <c r="X213" s="76">
        <f>MA_ProForma!AH91</f>
        <v/>
      </c>
      <c r="Y213" s="76">
        <f>MA_ProForma!AI91</f>
        <v/>
      </c>
      <c r="Z213" s="76">
        <f>MA_ProForma!AJ91</f>
        <v/>
      </c>
      <c r="AA213" s="76">
        <f>MA_ProForma!AK91</f>
        <v/>
      </c>
      <c r="AB213" s="76">
        <f>MA_ProForma!AL91</f>
        <v/>
      </c>
      <c r="AC213" s="76">
        <f>MA_ProForma!AN91</f>
        <v/>
      </c>
      <c r="AD213" s="76">
        <f>MA_ProForma!AO91</f>
        <v/>
      </c>
    </row>
    <row r="215">
      <c r="A215" s="13" t="inlineStr">
        <is>
          <t>C. Five-year view (years 1-5 in columns D:H)</t>
        </is>
      </c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</row>
    <row r="216">
      <c r="A216" s="11" t="inlineStr">
        <is>
          <t>Name</t>
        </is>
      </c>
      <c r="B216" s="12" t="inlineStr">
        <is>
          <t>Label</t>
        </is>
      </c>
      <c r="C216" s="12" t="inlineStr">
        <is>
          <t>Unit</t>
        </is>
      </c>
      <c r="D216" s="12">
        <f>LT_Model!C4</f>
        <v/>
      </c>
      <c r="E216" s="12">
        <f>LT_Model!D4</f>
        <v/>
      </c>
      <c r="F216" s="12">
        <f>LT_Model!E4</f>
        <v/>
      </c>
      <c r="G216" s="12">
        <f>LT_Model!F4</f>
        <v/>
      </c>
      <c r="H216" s="12">
        <f>LT_Model!G4</f>
        <v/>
      </c>
    </row>
    <row r="217">
      <c r="A217" s="5" t="inlineStr">
        <is>
          <t>out_lt_arr_open</t>
        </is>
      </c>
      <c r="B217" s="5" t="inlineStr">
        <is>
          <t>LT_Model: Opening ARR</t>
        </is>
      </c>
      <c r="C217" s="2" t="inlineStr">
        <is>
          <t>GBP k</t>
        </is>
      </c>
      <c r="D217" s="19">
        <f>LT_Model!C8</f>
        <v/>
      </c>
      <c r="E217" s="19">
        <f>LT_Model!D8</f>
        <v/>
      </c>
      <c r="F217" s="19">
        <f>LT_Model!E8</f>
        <v/>
      </c>
      <c r="G217" s="19">
        <f>LT_Model!F8</f>
        <v/>
      </c>
      <c r="H217" s="19">
        <f>LT_Model!G8</f>
        <v/>
      </c>
    </row>
    <row r="218">
      <c r="A218" s="5" t="inlineStr">
        <is>
          <t>out_lt_arr_new</t>
        </is>
      </c>
      <c r="B218" s="5" t="inlineStr">
        <is>
          <t>LT_Model: + New logos</t>
        </is>
      </c>
      <c r="C218" s="2" t="inlineStr">
        <is>
          <t>GBP k</t>
        </is>
      </c>
      <c r="D218" s="19">
        <f>LT_Model!C9</f>
        <v/>
      </c>
      <c r="E218" s="19">
        <f>LT_Model!D9</f>
        <v/>
      </c>
      <c r="F218" s="19">
        <f>LT_Model!E9</f>
        <v/>
      </c>
      <c r="G218" s="19">
        <f>LT_Model!F9</f>
        <v/>
      </c>
      <c r="H218" s="19">
        <f>LT_Model!G9</f>
        <v/>
      </c>
    </row>
    <row r="219">
      <c r="A219" s="5" t="inlineStr">
        <is>
          <t>out_lt_arr_exp</t>
        </is>
      </c>
      <c r="B219" s="5" t="inlineStr">
        <is>
          <t>LT_Model: + Expansion</t>
        </is>
      </c>
      <c r="C219" s="2" t="inlineStr">
        <is>
          <t>GBP k</t>
        </is>
      </c>
      <c r="D219" s="19">
        <f>LT_Model!C10</f>
        <v/>
      </c>
      <c r="E219" s="19">
        <f>LT_Model!D10</f>
        <v/>
      </c>
      <c r="F219" s="19">
        <f>LT_Model!E10</f>
        <v/>
      </c>
      <c r="G219" s="19">
        <f>LT_Model!F10</f>
        <v/>
      </c>
      <c r="H219" s="19">
        <f>LT_Model!G10</f>
        <v/>
      </c>
    </row>
    <row r="220">
      <c r="A220" s="5" t="inlineStr">
        <is>
          <t>out_lt_arr_churn</t>
        </is>
      </c>
      <c r="B220" s="5" t="inlineStr">
        <is>
          <t>LT_Model: - Churn</t>
        </is>
      </c>
      <c r="C220" s="2" t="inlineStr">
        <is>
          <t>GBP k</t>
        </is>
      </c>
      <c r="D220" s="19">
        <f>LT_Model!C11</f>
        <v/>
      </c>
      <c r="E220" s="19">
        <f>LT_Model!D11</f>
        <v/>
      </c>
      <c r="F220" s="19">
        <f>LT_Model!E11</f>
        <v/>
      </c>
      <c r="G220" s="19">
        <f>LT_Model!F11</f>
        <v/>
      </c>
      <c r="H220" s="19">
        <f>LT_Model!G11</f>
        <v/>
      </c>
    </row>
    <row r="221">
      <c r="A221" s="5" t="inlineStr">
        <is>
          <t>out_lt_arr_close</t>
        </is>
      </c>
      <c r="B221" s="5" t="inlineStr">
        <is>
          <t>LT_Model: Closing ARR</t>
        </is>
      </c>
      <c r="C221" s="2" t="inlineStr">
        <is>
          <t>GBP k</t>
        </is>
      </c>
      <c r="D221" s="19">
        <f>LT_Model!C12</f>
        <v/>
      </c>
      <c r="E221" s="19">
        <f>LT_Model!D12</f>
        <v/>
      </c>
      <c r="F221" s="19">
        <f>LT_Model!E12</f>
        <v/>
      </c>
      <c r="G221" s="19">
        <f>LT_Model!F12</f>
        <v/>
      </c>
      <c r="H221" s="19">
        <f>LT_Model!G12</f>
        <v/>
      </c>
    </row>
    <row r="222">
      <c r="A222" s="5" t="inlineStr">
        <is>
          <t>out_lt_exp_rate</t>
        </is>
      </c>
      <c r="B222" s="5" t="inlineStr">
        <is>
          <t>LT_Model: Expansion rate (% of opening ARR)</t>
        </is>
      </c>
      <c r="C222" s="2" t="inlineStr">
        <is>
          <t>%</t>
        </is>
      </c>
      <c r="D222" s="17">
        <f>LT_Model!C13</f>
        <v/>
      </c>
      <c r="E222" s="17">
        <f>LT_Model!D13</f>
        <v/>
      </c>
      <c r="F222" s="17">
        <f>LT_Model!E13</f>
        <v/>
      </c>
      <c r="G222" s="17">
        <f>LT_Model!F13</f>
        <v/>
      </c>
      <c r="H222" s="17">
        <f>LT_Model!G13</f>
        <v/>
      </c>
    </row>
    <row r="223">
      <c r="A223" s="5" t="inlineStr">
        <is>
          <t>out_lt_churn_rate</t>
        </is>
      </c>
      <c r="B223" s="5" t="inlineStr">
        <is>
          <t>LT_Model: Gross churn rate (% of opening ARR)</t>
        </is>
      </c>
      <c r="C223" s="2" t="inlineStr">
        <is>
          <t>%</t>
        </is>
      </c>
      <c r="D223" s="17">
        <f>LT_Model!C14</f>
        <v/>
      </c>
      <c r="E223" s="17">
        <f>LT_Model!D14</f>
        <v/>
      </c>
      <c r="F223" s="17">
        <f>LT_Model!E14</f>
        <v/>
      </c>
      <c r="G223" s="17">
        <f>LT_Model!F14</f>
        <v/>
      </c>
      <c r="H223" s="17">
        <f>LT_Model!G14</f>
        <v/>
      </c>
    </row>
    <row r="224">
      <c r="A224" s="5" t="inlineStr">
        <is>
          <t>out_lt_growth</t>
        </is>
      </c>
      <c r="B224" s="5" t="inlineStr">
        <is>
          <t>LT_Model: ARR growth</t>
        </is>
      </c>
      <c r="C224" s="2" t="inlineStr">
        <is>
          <t>%</t>
        </is>
      </c>
      <c r="D224" s="17">
        <f>LT_Model!C15</f>
        <v/>
      </c>
      <c r="E224" s="17">
        <f>LT_Model!D15</f>
        <v/>
      </c>
      <c r="F224" s="17">
        <f>LT_Model!E15</f>
        <v/>
      </c>
      <c r="G224" s="17">
        <f>LT_Model!F15</f>
        <v/>
      </c>
      <c r="H224" s="17">
        <f>LT_Model!G15</f>
        <v/>
      </c>
    </row>
    <row r="225">
      <c r="A225" s="5" t="inlineStr">
        <is>
          <t>out_lt_nrr</t>
        </is>
      </c>
      <c r="B225" s="5" t="inlineStr">
        <is>
          <t>LT_Model: Net revenue retention</t>
        </is>
      </c>
      <c r="C225" s="2" t="inlineStr">
        <is>
          <t>%</t>
        </is>
      </c>
      <c r="D225" s="17">
        <f>LT_Model!C16</f>
        <v/>
      </c>
      <c r="E225" s="17">
        <f>LT_Model!D16</f>
        <v/>
      </c>
      <c r="F225" s="17">
        <f>LT_Model!E16</f>
        <v/>
      </c>
      <c r="G225" s="17">
        <f>LT_Model!F16</f>
        <v/>
      </c>
      <c r="H225" s="17">
        <f>LT_Model!G16</f>
        <v/>
      </c>
    </row>
    <row r="226">
      <c r="A226" s="5" t="inlineStr">
        <is>
          <t>out_lt_rev</t>
        </is>
      </c>
      <c r="B226" s="5" t="inlineStr">
        <is>
          <t>LT_Model: Revenue</t>
        </is>
      </c>
      <c r="C226" s="2" t="inlineStr">
        <is>
          <t>GBP k</t>
        </is>
      </c>
      <c r="D226" s="19">
        <f>LT_Model!C19</f>
        <v/>
      </c>
      <c r="E226" s="19">
        <f>LT_Model!D19</f>
        <v/>
      </c>
      <c r="F226" s="19">
        <f>LT_Model!E19</f>
        <v/>
      </c>
      <c r="G226" s="19">
        <f>LT_Model!F19</f>
        <v/>
      </c>
      <c r="H226" s="19">
        <f>LT_Model!G19</f>
        <v/>
      </c>
    </row>
    <row r="227">
      <c r="A227" s="5" t="inlineStr">
        <is>
          <t>out_lt_rev_conv</t>
        </is>
      </c>
      <c r="B227" s="5" t="inlineStr">
        <is>
          <t>LT_Model: Revenue / average ARR</t>
        </is>
      </c>
      <c r="C227" s="2" t="inlineStr">
        <is>
          <t>x</t>
        </is>
      </c>
      <c r="D227" s="77">
        <f>LT_Model!C20</f>
        <v/>
      </c>
      <c r="E227" s="77">
        <f>LT_Model!D20</f>
        <v/>
      </c>
      <c r="F227" s="77">
        <f>LT_Model!E20</f>
        <v/>
      </c>
      <c r="G227" s="77">
        <f>LT_Model!F20</f>
        <v/>
      </c>
      <c r="H227" s="77">
        <f>LT_Model!G20</f>
        <v/>
      </c>
    </row>
    <row r="228">
      <c r="A228" s="5" t="inlineStr">
        <is>
          <t>out_lt_gm</t>
        </is>
      </c>
      <c r="B228" s="5" t="inlineStr">
        <is>
          <t>LT_Model: Gross margin</t>
        </is>
      </c>
      <c r="C228" s="2" t="inlineStr">
        <is>
          <t>%</t>
        </is>
      </c>
      <c r="D228" s="17">
        <f>LT_Model!C21</f>
        <v/>
      </c>
      <c r="E228" s="17">
        <f>LT_Model!D21</f>
        <v/>
      </c>
      <c r="F228" s="17">
        <f>LT_Model!E21</f>
        <v/>
      </c>
      <c r="G228" s="17">
        <f>LT_Model!F21</f>
        <v/>
      </c>
      <c r="H228" s="17">
        <f>LT_Model!G21</f>
        <v/>
      </c>
    </row>
    <row r="229">
      <c r="A229" s="5" t="inlineStr">
        <is>
          <t>out_lt_gp</t>
        </is>
      </c>
      <c r="B229" s="5" t="inlineStr">
        <is>
          <t>LT_Model: Gross profit</t>
        </is>
      </c>
      <c r="C229" s="2" t="inlineStr">
        <is>
          <t>GBP k</t>
        </is>
      </c>
      <c r="D229" s="19">
        <f>LT_Model!C22</f>
        <v/>
      </c>
      <c r="E229" s="19">
        <f>LT_Model!D22</f>
        <v/>
      </c>
      <c r="F229" s="19">
        <f>LT_Model!E22</f>
        <v/>
      </c>
      <c r="G229" s="19">
        <f>LT_Model!F22</f>
        <v/>
      </c>
      <c r="H229" s="19">
        <f>LT_Model!G22</f>
        <v/>
      </c>
    </row>
    <row r="230">
      <c r="A230" s="5" t="inlineStr">
        <is>
          <t>out_lt_rd_pct</t>
        </is>
      </c>
      <c r="B230" s="5" t="inlineStr">
        <is>
          <t>LT_Model: R&amp;D as % of revenue</t>
        </is>
      </c>
      <c r="C230" s="2" t="inlineStr">
        <is>
          <t>%</t>
        </is>
      </c>
      <c r="D230" s="17">
        <f>LT_Model!C23</f>
        <v/>
      </c>
      <c r="E230" s="17">
        <f>LT_Model!D23</f>
        <v/>
      </c>
      <c r="F230" s="17">
        <f>LT_Model!E23</f>
        <v/>
      </c>
      <c r="G230" s="17">
        <f>LT_Model!F23</f>
        <v/>
      </c>
      <c r="H230" s="17">
        <f>LT_Model!G23</f>
        <v/>
      </c>
    </row>
    <row r="231">
      <c r="A231" s="5" t="inlineStr">
        <is>
          <t>out_lt_rd</t>
        </is>
      </c>
      <c r="B231" s="5" t="inlineStr">
        <is>
          <t>LT_Model: R&amp;D expense</t>
        </is>
      </c>
      <c r="C231" s="2" t="inlineStr">
        <is>
          <t>GBP k</t>
        </is>
      </c>
      <c r="D231" s="19">
        <f>LT_Model!C24</f>
        <v/>
      </c>
      <c r="E231" s="19">
        <f>LT_Model!D24</f>
        <v/>
      </c>
      <c r="F231" s="19">
        <f>LT_Model!E24</f>
        <v/>
      </c>
      <c r="G231" s="19">
        <f>LT_Model!F24</f>
        <v/>
      </c>
      <c r="H231" s="19">
        <f>LT_Model!G24</f>
        <v/>
      </c>
    </row>
    <row r="232">
      <c r="A232" s="5" t="inlineStr">
        <is>
          <t>out_lt_sm_pct</t>
        </is>
      </c>
      <c r="B232" s="5" t="inlineStr">
        <is>
          <t>LT_Model: S&amp;M as % of revenue</t>
        </is>
      </c>
      <c r="C232" s="2" t="inlineStr">
        <is>
          <t>%</t>
        </is>
      </c>
      <c r="D232" s="17">
        <f>LT_Model!C25</f>
        <v/>
      </c>
      <c r="E232" s="17">
        <f>LT_Model!D25</f>
        <v/>
      </c>
      <c r="F232" s="17">
        <f>LT_Model!E25</f>
        <v/>
      </c>
      <c r="G232" s="17">
        <f>LT_Model!F25</f>
        <v/>
      </c>
      <c r="H232" s="17">
        <f>LT_Model!G25</f>
        <v/>
      </c>
    </row>
    <row r="233">
      <c r="A233" s="5" t="inlineStr">
        <is>
          <t>out_lt_sm</t>
        </is>
      </c>
      <c r="B233" s="5" t="inlineStr">
        <is>
          <t>LT_Model: S&amp;M expense</t>
        </is>
      </c>
      <c r="C233" s="2" t="inlineStr">
        <is>
          <t>GBP k</t>
        </is>
      </c>
      <c r="D233" s="19">
        <f>LT_Model!C26</f>
        <v/>
      </c>
      <c r="E233" s="19">
        <f>LT_Model!D26</f>
        <v/>
      </c>
      <c r="F233" s="19">
        <f>LT_Model!E26</f>
        <v/>
      </c>
      <c r="G233" s="19">
        <f>LT_Model!F26</f>
        <v/>
      </c>
      <c r="H233" s="19">
        <f>LT_Model!G26</f>
        <v/>
      </c>
    </row>
    <row r="234">
      <c r="A234" s="5" t="inlineStr">
        <is>
          <t>out_lt_ga_pct</t>
        </is>
      </c>
      <c r="B234" s="5" t="inlineStr">
        <is>
          <t>LT_Model: G&amp;A as % of revenue</t>
        </is>
      </c>
      <c r="C234" s="2" t="inlineStr">
        <is>
          <t>%</t>
        </is>
      </c>
      <c r="D234" s="17">
        <f>LT_Model!C27</f>
        <v/>
      </c>
      <c r="E234" s="17">
        <f>LT_Model!D27</f>
        <v/>
      </c>
      <c r="F234" s="17">
        <f>LT_Model!E27</f>
        <v/>
      </c>
      <c r="G234" s="17">
        <f>LT_Model!F27</f>
        <v/>
      </c>
      <c r="H234" s="17">
        <f>LT_Model!G27</f>
        <v/>
      </c>
    </row>
    <row r="235">
      <c r="A235" s="5" t="inlineStr">
        <is>
          <t>out_lt_ga</t>
        </is>
      </c>
      <c r="B235" s="5" t="inlineStr">
        <is>
          <t>LT_Model: G&amp;A expense</t>
        </is>
      </c>
      <c r="C235" s="2" t="inlineStr">
        <is>
          <t>GBP k</t>
        </is>
      </c>
      <c r="D235" s="19">
        <f>LT_Model!C28</f>
        <v/>
      </c>
      <c r="E235" s="19">
        <f>LT_Model!D28</f>
        <v/>
      </c>
      <c r="F235" s="19">
        <f>LT_Model!E28</f>
        <v/>
      </c>
      <c r="G235" s="19">
        <f>LT_Model!F28</f>
        <v/>
      </c>
      <c r="H235" s="19">
        <f>LT_Model!G28</f>
        <v/>
      </c>
    </row>
    <row r="236">
      <c r="A236" s="5" t="inlineStr">
        <is>
          <t>out_lt_ebitda</t>
        </is>
      </c>
      <c r="B236" s="5" t="inlineStr">
        <is>
          <t>LT_Model: EBITDA</t>
        </is>
      </c>
      <c r="C236" s="2" t="inlineStr">
        <is>
          <t>GBP k</t>
        </is>
      </c>
      <c r="D236" s="19">
        <f>LT_Model!C29</f>
        <v/>
      </c>
      <c r="E236" s="19">
        <f>LT_Model!D29</f>
        <v/>
      </c>
      <c r="F236" s="19">
        <f>LT_Model!E29</f>
        <v/>
      </c>
      <c r="G236" s="19">
        <f>LT_Model!F29</f>
        <v/>
      </c>
      <c r="H236" s="19">
        <f>LT_Model!G29</f>
        <v/>
      </c>
    </row>
    <row r="237">
      <c r="A237" s="5" t="inlineStr">
        <is>
          <t>out_lt_ebitda_m</t>
        </is>
      </c>
      <c r="B237" s="5" t="inlineStr">
        <is>
          <t>LT_Model: EBITDA margin</t>
        </is>
      </c>
      <c r="C237" s="2" t="inlineStr">
        <is>
          <t>%</t>
        </is>
      </c>
      <c r="D237" s="17">
        <f>LT_Model!C30</f>
        <v/>
      </c>
      <c r="E237" s="17">
        <f>LT_Model!D30</f>
        <v/>
      </c>
      <c r="F237" s="17">
        <f>LT_Model!E30</f>
        <v/>
      </c>
      <c r="G237" s="17">
        <f>LT_Model!F30</f>
        <v/>
      </c>
      <c r="H237" s="17">
        <f>LT_Model!G30</f>
        <v/>
      </c>
    </row>
    <row r="238">
      <c r="A238" s="5" t="inlineStr">
        <is>
          <t>out_lt_da_pct</t>
        </is>
      </c>
      <c r="B238" s="5" t="inlineStr">
        <is>
          <t>LT_Model: Depreciation as % of revenue</t>
        </is>
      </c>
      <c r="C238" s="2" t="inlineStr">
        <is>
          <t>%</t>
        </is>
      </c>
      <c r="D238" s="17">
        <f>LT_Model!C31</f>
        <v/>
      </c>
      <c r="E238" s="17">
        <f>LT_Model!D31</f>
        <v/>
      </c>
      <c r="F238" s="17">
        <f>LT_Model!E31</f>
        <v/>
      </c>
      <c r="G238" s="17">
        <f>LT_Model!F31</f>
        <v/>
      </c>
      <c r="H238" s="17">
        <f>LT_Model!G31</f>
        <v/>
      </c>
    </row>
    <row r="239">
      <c r="A239" s="5" t="inlineStr">
        <is>
          <t>out_lt_da</t>
        </is>
      </c>
      <c r="B239" s="5" t="inlineStr">
        <is>
          <t>LT_Model: Depreciation</t>
        </is>
      </c>
      <c r="C239" s="2" t="inlineStr">
        <is>
          <t>GBP k</t>
        </is>
      </c>
      <c r="D239" s="19">
        <f>LT_Model!C32</f>
        <v/>
      </c>
      <c r="E239" s="19">
        <f>LT_Model!D32</f>
        <v/>
      </c>
      <c r="F239" s="19">
        <f>LT_Model!E32</f>
        <v/>
      </c>
      <c r="G239" s="19">
        <f>LT_Model!F32</f>
        <v/>
      </c>
      <c r="H239" s="19">
        <f>LT_Model!G32</f>
        <v/>
      </c>
    </row>
    <row r="240">
      <c r="A240" s="5" t="inlineStr">
        <is>
          <t>out_lt_tax</t>
        </is>
      </c>
      <c r="B240" s="5" t="inlineStr">
        <is>
          <t>LT_Model: Tax (on EBITDA less depreciation, if positive)</t>
        </is>
      </c>
      <c r="C240" s="2" t="inlineStr">
        <is>
          <t>GBP k</t>
        </is>
      </c>
      <c r="D240" s="19">
        <f>LT_Model!C33</f>
        <v/>
      </c>
      <c r="E240" s="19">
        <f>LT_Model!D33</f>
        <v/>
      </c>
      <c r="F240" s="19">
        <f>LT_Model!E33</f>
        <v/>
      </c>
      <c r="G240" s="19">
        <f>LT_Model!F33</f>
        <v/>
      </c>
      <c r="H240" s="19">
        <f>LT_Model!G33</f>
        <v/>
      </c>
    </row>
    <row r="241">
      <c r="A241" s="5" t="inlineStr">
        <is>
          <t>out_lt_capex</t>
        </is>
      </c>
      <c r="B241" s="5" t="inlineStr">
        <is>
          <t>LT_Model: Capex</t>
        </is>
      </c>
      <c r="C241" s="2" t="inlineStr">
        <is>
          <t>GBP k</t>
        </is>
      </c>
      <c r="D241" s="19">
        <f>LT_Model!C36</f>
        <v/>
      </c>
      <c r="E241" s="19">
        <f>LT_Model!D36</f>
        <v/>
      </c>
      <c r="F241" s="19">
        <f>LT_Model!E36</f>
        <v/>
      </c>
      <c r="G241" s="19">
        <f>LT_Model!F36</f>
        <v/>
      </c>
      <c r="H241" s="19">
        <f>LT_Model!G36</f>
        <v/>
      </c>
    </row>
    <row r="242">
      <c r="A242" s="5" t="inlineStr">
        <is>
          <t>out_lt_def_pct</t>
        </is>
      </c>
      <c r="B242" s="5" t="inlineStr">
        <is>
          <t>LT_Model: Deferred revenue as % of closing ARR</t>
        </is>
      </c>
      <c r="C242" s="2" t="inlineStr">
        <is>
          <t>%</t>
        </is>
      </c>
      <c r="D242" s="17">
        <f>LT_Model!C37</f>
        <v/>
      </c>
      <c r="E242" s="17">
        <f>LT_Model!D37</f>
        <v/>
      </c>
      <c r="F242" s="17">
        <f>LT_Model!E37</f>
        <v/>
      </c>
      <c r="G242" s="17">
        <f>LT_Model!F37</f>
        <v/>
      </c>
      <c r="H242" s="17">
        <f>LT_Model!G37</f>
        <v/>
      </c>
    </row>
    <row r="243">
      <c r="A243" s="5" t="inlineStr">
        <is>
          <t>out_lt_def_close</t>
        </is>
      </c>
      <c r="B243" s="5" t="inlineStr">
        <is>
          <t>LT_Model: Deferred revenue (closing)</t>
        </is>
      </c>
      <c r="C243" s="2" t="inlineStr">
        <is>
          <t>GBP k</t>
        </is>
      </c>
      <c r="D243" s="19">
        <f>LT_Model!C38</f>
        <v/>
      </c>
      <c r="E243" s="19">
        <f>LT_Model!D38</f>
        <v/>
      </c>
      <c r="F243" s="19">
        <f>LT_Model!E38</f>
        <v/>
      </c>
      <c r="G243" s="19">
        <f>LT_Model!F38</f>
        <v/>
      </c>
      <c r="H243" s="19">
        <f>LT_Model!G38</f>
        <v/>
      </c>
    </row>
    <row r="244">
      <c r="A244" s="5" t="inlineStr">
        <is>
          <t>out_lt_ar_pct</t>
        </is>
      </c>
      <c r="B244" s="5" t="inlineStr">
        <is>
          <t>LT_Model: Receivables as % of closing ARR</t>
        </is>
      </c>
      <c r="C244" s="2" t="inlineStr">
        <is>
          <t>%</t>
        </is>
      </c>
      <c r="D244" s="17">
        <f>LT_Model!C39</f>
        <v/>
      </c>
      <c r="E244" s="17">
        <f>LT_Model!D39</f>
        <v/>
      </c>
      <c r="F244" s="17">
        <f>LT_Model!E39</f>
        <v/>
      </c>
      <c r="G244" s="17">
        <f>LT_Model!F39</f>
        <v/>
      </c>
      <c r="H244" s="17">
        <f>LT_Model!G39</f>
        <v/>
      </c>
    </row>
    <row r="245">
      <c r="A245" s="5" t="inlineStr">
        <is>
          <t>out_lt_ar_close</t>
        </is>
      </c>
      <c r="B245" s="5" t="inlineStr">
        <is>
          <t>LT_Model: Receivables (closing)</t>
        </is>
      </c>
      <c r="C245" s="2" t="inlineStr">
        <is>
          <t>GBP k</t>
        </is>
      </c>
      <c r="D245" s="19">
        <f>LT_Model!C40</f>
        <v/>
      </c>
      <c r="E245" s="19">
        <f>LT_Model!D40</f>
        <v/>
      </c>
      <c r="F245" s="19">
        <f>LT_Model!E40</f>
        <v/>
      </c>
      <c r="G245" s="19">
        <f>LT_Model!F40</f>
        <v/>
      </c>
      <c r="H245" s="19">
        <f>LT_Model!G40</f>
        <v/>
      </c>
    </row>
    <row r="246">
      <c r="A246" s="5" t="inlineStr">
        <is>
          <t>out_lt_cca_pct</t>
        </is>
      </c>
      <c r="B246" s="5" t="inlineStr">
        <is>
          <t>LT_Model: Contract-cost asset as % of closing ARR</t>
        </is>
      </c>
      <c r="C246" s="2" t="inlineStr">
        <is>
          <t>%</t>
        </is>
      </c>
      <c r="D246" s="17">
        <f>LT_Model!C41</f>
        <v/>
      </c>
      <c r="E246" s="17">
        <f>LT_Model!D41</f>
        <v/>
      </c>
      <c r="F246" s="17">
        <f>LT_Model!E41</f>
        <v/>
      </c>
      <c r="G246" s="17">
        <f>LT_Model!F41</f>
        <v/>
      </c>
      <c r="H246" s="17">
        <f>LT_Model!G41</f>
        <v/>
      </c>
    </row>
    <row r="247">
      <c r="A247" s="5" t="inlineStr">
        <is>
          <t>out_lt_cca_close</t>
        </is>
      </c>
      <c r="B247" s="5" t="inlineStr">
        <is>
          <t>LT_Model: Capitalised contract costs (closing)</t>
        </is>
      </c>
      <c r="C247" s="2" t="inlineStr">
        <is>
          <t>GBP k</t>
        </is>
      </c>
      <c r="D247" s="19">
        <f>LT_Model!C42</f>
        <v/>
      </c>
      <c r="E247" s="19">
        <f>LT_Model!D42</f>
        <v/>
      </c>
      <c r="F247" s="19">
        <f>LT_Model!E42</f>
        <v/>
      </c>
      <c r="G247" s="19">
        <f>LT_Model!F42</f>
        <v/>
      </c>
      <c r="H247" s="19">
        <f>LT_Model!G42</f>
        <v/>
      </c>
    </row>
    <row r="248">
      <c r="A248" s="5" t="inlineStr">
        <is>
          <t>out_lt_fcf</t>
        </is>
      </c>
      <c r="B248" s="5" t="inlineStr">
        <is>
          <t>LT_Model: Free cash flow</t>
        </is>
      </c>
      <c r="C248" s="2" t="inlineStr">
        <is>
          <t>GBP k</t>
        </is>
      </c>
      <c r="D248" s="19">
        <f>LT_Model!C43</f>
        <v/>
      </c>
      <c r="E248" s="19">
        <f>LT_Model!D43</f>
        <v/>
      </c>
      <c r="F248" s="19">
        <f>LT_Model!E43</f>
        <v/>
      </c>
      <c r="G248" s="19">
        <f>LT_Model!F43</f>
        <v/>
      </c>
      <c r="H248" s="19">
        <f>LT_Model!G43</f>
        <v/>
      </c>
    </row>
    <row r="249">
      <c r="A249" s="5" t="inlineStr">
        <is>
          <t>out_lt_cash_close</t>
        </is>
      </c>
      <c r="B249" s="5" t="inlineStr">
        <is>
          <t>LT_Model: Closing cash</t>
        </is>
      </c>
      <c r="C249" s="2" t="inlineStr">
        <is>
          <t>GBP k</t>
        </is>
      </c>
      <c r="D249" s="19">
        <f>LT_Model!C44</f>
        <v/>
      </c>
      <c r="E249" s="19">
        <f>LT_Model!D44</f>
        <v/>
      </c>
      <c r="F249" s="19">
        <f>LT_Model!E44</f>
        <v/>
      </c>
      <c r="G249" s="19">
        <f>LT_Model!F44</f>
        <v/>
      </c>
      <c r="H249" s="19">
        <f>LT_Model!G44</f>
        <v/>
      </c>
    </row>
    <row r="250">
      <c r="A250" s="5" t="inlineStr">
        <is>
          <t>out_lt_burn_mult</t>
        </is>
      </c>
      <c r="B250" s="5" t="inlineStr">
        <is>
          <t>LT_Model: Burn multiple</t>
        </is>
      </c>
      <c r="C250" s="2" t="inlineStr">
        <is>
          <t>x</t>
        </is>
      </c>
      <c r="D250" s="63">
        <f>LT_Model!C47</f>
        <v/>
      </c>
      <c r="E250" s="63">
        <f>LT_Model!D47</f>
        <v/>
      </c>
      <c r="F250" s="63">
        <f>LT_Model!E47</f>
        <v/>
      </c>
      <c r="G250" s="63">
        <f>LT_Model!F47</f>
        <v/>
      </c>
      <c r="H250" s="63">
        <f>LT_Model!G47</f>
        <v/>
      </c>
    </row>
    <row r="251">
      <c r="A251" s="5" t="inlineStr">
        <is>
          <t>out_lt_rule40</t>
        </is>
      </c>
      <c r="B251" s="5" t="inlineStr">
        <is>
          <t>LT_Model: Rule of 40 (ARR growth + EBITDA margin)</t>
        </is>
      </c>
      <c r="C251" s="2" t="inlineStr">
        <is>
          <t>%</t>
        </is>
      </c>
      <c r="D251" s="17">
        <f>LT_Model!C48</f>
        <v/>
      </c>
      <c r="E251" s="17">
        <f>LT_Model!D48</f>
        <v/>
      </c>
      <c r="F251" s="17">
        <f>LT_Model!E48</f>
        <v/>
      </c>
      <c r="G251" s="17">
        <f>LT_Model!F48</f>
        <v/>
      </c>
      <c r="H251" s="17">
        <f>LT_Model!G48</f>
        <v/>
      </c>
    </row>
    <row r="253">
      <c r="A253" s="13" t="inlineStr">
        <is>
          <t>D. FY1 budget vs forecast (line, budget, forecast, variance, variance %, flag, commentary)</t>
        </is>
      </c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</row>
    <row r="254">
      <c r="A254" s="11" t="inlineStr">
        <is>
          <t>Line</t>
        </is>
      </c>
      <c r="B254" s="12" t="inlineStr">
        <is>
          <t>Budget</t>
        </is>
      </c>
      <c r="C254" s="12" t="inlineStr">
        <is>
          <t>Forecast</t>
        </is>
      </c>
      <c r="D254" s="12" t="inlineStr">
        <is>
          <t>Variance</t>
        </is>
      </c>
      <c r="E254" s="12" t="inlineStr">
        <is>
          <t>Var %</t>
        </is>
      </c>
      <c r="F254" s="12" t="inlineStr">
        <is>
          <t>Flag</t>
        </is>
      </c>
      <c r="G254" s="12" t="inlineStr">
        <is>
          <t>Commentary</t>
        </is>
      </c>
    </row>
    <row r="255">
      <c r="A255" s="7">
        <f>Budget_vs_Forecast!A5</f>
        <v/>
      </c>
      <c r="B255" s="19">
        <f>Budget_vs_Forecast!B5</f>
        <v/>
      </c>
      <c r="C255" s="19">
        <f>Budget_vs_Forecast!C5</f>
        <v/>
      </c>
      <c r="D255" s="19">
        <f>Budget_vs_Forecast!D5</f>
        <v/>
      </c>
      <c r="E255" s="17">
        <f>Budget_vs_Forecast!E5</f>
        <v/>
      </c>
      <c r="F255" s="7">
        <f>Budget_vs_Forecast!F5</f>
        <v/>
      </c>
      <c r="G255" s="7">
        <f>Budget_vs_Forecast!G5</f>
        <v/>
      </c>
    </row>
    <row r="256">
      <c r="A256" s="7">
        <f>Budget_vs_Forecast!A6</f>
        <v/>
      </c>
      <c r="B256" s="19">
        <f>Budget_vs_Forecast!B6</f>
        <v/>
      </c>
      <c r="C256" s="19">
        <f>Budget_vs_Forecast!C6</f>
        <v/>
      </c>
      <c r="D256" s="19">
        <f>Budget_vs_Forecast!D6</f>
        <v/>
      </c>
      <c r="E256" s="17">
        <f>Budget_vs_Forecast!E6</f>
        <v/>
      </c>
      <c r="F256" s="7">
        <f>Budget_vs_Forecast!F6</f>
        <v/>
      </c>
      <c r="G256" s="7">
        <f>Budget_vs_Forecast!G6</f>
        <v/>
      </c>
    </row>
    <row r="257">
      <c r="A257" s="7">
        <f>Budget_vs_Forecast!A7</f>
        <v/>
      </c>
      <c r="B257" s="19">
        <f>Budget_vs_Forecast!B7</f>
        <v/>
      </c>
      <c r="C257" s="19">
        <f>Budget_vs_Forecast!C7</f>
        <v/>
      </c>
      <c r="D257" s="19">
        <f>Budget_vs_Forecast!D7</f>
        <v/>
      </c>
      <c r="E257" s="17">
        <f>Budget_vs_Forecast!E7</f>
        <v/>
      </c>
      <c r="F257" s="7">
        <f>Budget_vs_Forecast!F7</f>
        <v/>
      </c>
      <c r="G257" s="7">
        <f>Budget_vs_Forecast!G7</f>
        <v/>
      </c>
    </row>
    <row r="258">
      <c r="A258" s="7">
        <f>Budget_vs_Forecast!A8</f>
        <v/>
      </c>
      <c r="B258" s="19">
        <f>Budget_vs_Forecast!B8</f>
        <v/>
      </c>
      <c r="C258" s="19">
        <f>Budget_vs_Forecast!C8</f>
        <v/>
      </c>
      <c r="D258" s="19">
        <f>Budget_vs_Forecast!D8</f>
        <v/>
      </c>
      <c r="E258" s="17">
        <f>Budget_vs_Forecast!E8</f>
        <v/>
      </c>
      <c r="F258" s="7">
        <f>Budget_vs_Forecast!F8</f>
        <v/>
      </c>
      <c r="G258" s="7">
        <f>Budget_vs_Forecast!G8</f>
        <v/>
      </c>
    </row>
    <row r="259">
      <c r="A259" s="7">
        <f>Budget_vs_Forecast!A9</f>
        <v/>
      </c>
      <c r="B259" s="19">
        <f>Budget_vs_Forecast!B9</f>
        <v/>
      </c>
      <c r="C259" s="19">
        <f>Budget_vs_Forecast!C9</f>
        <v/>
      </c>
      <c r="D259" s="19">
        <f>Budget_vs_Forecast!D9</f>
        <v/>
      </c>
      <c r="E259" s="17">
        <f>Budget_vs_Forecast!E9</f>
        <v/>
      </c>
      <c r="F259" s="7">
        <f>Budget_vs_Forecast!F9</f>
        <v/>
      </c>
      <c r="G259" s="7">
        <f>Budget_vs_Forecast!G9</f>
        <v/>
      </c>
    </row>
    <row r="260">
      <c r="A260" s="7">
        <f>Budget_vs_Forecast!A10</f>
        <v/>
      </c>
      <c r="B260" s="19">
        <f>Budget_vs_Forecast!B10</f>
        <v/>
      </c>
      <c r="C260" s="19">
        <f>Budget_vs_Forecast!C10</f>
        <v/>
      </c>
      <c r="D260" s="19">
        <f>Budget_vs_Forecast!D10</f>
        <v/>
      </c>
      <c r="E260" s="17">
        <f>Budget_vs_Forecast!E10</f>
        <v/>
      </c>
      <c r="F260" s="7">
        <f>Budget_vs_Forecast!F10</f>
        <v/>
      </c>
      <c r="G260" s="7">
        <f>Budget_vs_Forecast!G10</f>
        <v/>
      </c>
    </row>
    <row r="261">
      <c r="A261" s="7">
        <f>Budget_vs_Forecast!A11</f>
        <v/>
      </c>
      <c r="B261" s="19">
        <f>Budget_vs_Forecast!B11</f>
        <v/>
      </c>
      <c r="C261" s="19">
        <f>Budget_vs_Forecast!C11</f>
        <v/>
      </c>
      <c r="D261" s="19">
        <f>Budget_vs_Forecast!D11</f>
        <v/>
      </c>
      <c r="E261" s="17">
        <f>Budget_vs_Forecast!E11</f>
        <v/>
      </c>
      <c r="F261" s="7">
        <f>Budget_vs_Forecast!F11</f>
        <v/>
      </c>
      <c r="G261" s="7">
        <f>Budget_vs_Forecast!G11</f>
        <v/>
      </c>
    </row>
    <row r="262">
      <c r="A262" s="7">
        <f>Budget_vs_Forecast!A12</f>
        <v/>
      </c>
      <c r="B262" s="19">
        <f>Budget_vs_Forecast!B12</f>
        <v/>
      </c>
      <c r="C262" s="19">
        <f>Budget_vs_Forecast!C12</f>
        <v/>
      </c>
      <c r="D262" s="19">
        <f>Budget_vs_Forecast!D12</f>
        <v/>
      </c>
      <c r="E262" s="17">
        <f>Budget_vs_Forecast!E12</f>
        <v/>
      </c>
      <c r="F262" s="7">
        <f>Budget_vs_Forecast!F12</f>
        <v/>
      </c>
      <c r="G262" s="7">
        <f>Budget_vs_Forecast!G12</f>
        <v/>
      </c>
    </row>
    <row r="263">
      <c r="A263" s="7">
        <f>Budget_vs_Forecast!A13</f>
        <v/>
      </c>
      <c r="B263" s="19">
        <f>Budget_vs_Forecast!B13</f>
        <v/>
      </c>
      <c r="C263" s="19">
        <f>Budget_vs_Forecast!C13</f>
        <v/>
      </c>
      <c r="D263" s="19">
        <f>Budget_vs_Forecast!D13</f>
        <v/>
      </c>
      <c r="E263" s="17">
        <f>Budget_vs_Forecast!E13</f>
        <v/>
      </c>
      <c r="F263" s="7">
        <f>Budget_vs_Forecast!F13</f>
        <v/>
      </c>
      <c r="G263" s="7">
        <f>Budget_vs_Forecast!G13</f>
        <v/>
      </c>
    </row>
    <row r="264">
      <c r="A264" s="7">
        <f>Budget_vs_Forecast!A14</f>
        <v/>
      </c>
      <c r="B264" s="19">
        <f>Budget_vs_Forecast!B14</f>
        <v/>
      </c>
      <c r="C264" s="19">
        <f>Budget_vs_Forecast!C14</f>
        <v/>
      </c>
      <c r="D264" s="19">
        <f>Budget_vs_Forecast!D14</f>
        <v/>
      </c>
      <c r="E264" s="17">
        <f>Budget_vs_Forecast!E14</f>
        <v/>
      </c>
      <c r="F264" s="7">
        <f>Budget_vs_Forecast!F14</f>
        <v/>
      </c>
      <c r="G264" s="7">
        <f>Budget_vs_Forecast!G14</f>
        <v/>
      </c>
    </row>
    <row r="266">
      <c r="A266" s="13" t="inlineStr">
        <is>
          <t>D2. What moves each metric (metric, levers)</t>
        </is>
      </c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</row>
    <row r="267">
      <c r="A267" s="11" t="inlineStr">
        <is>
          <t>Metric</t>
        </is>
      </c>
      <c r="B267" s="12" t="inlineStr">
        <is>
          <t>Levers</t>
        </is>
      </c>
    </row>
    <row r="268">
      <c r="A268" s="7">
        <f>SaaS_Metrics!A44</f>
        <v/>
      </c>
      <c r="B268" s="7">
        <f>SaaS_Metrics!C44</f>
        <v/>
      </c>
    </row>
    <row r="269">
      <c r="A269" s="7">
        <f>SaaS_Metrics!A45</f>
        <v/>
      </c>
      <c r="B269" s="7">
        <f>SaaS_Metrics!C45</f>
        <v/>
      </c>
    </row>
    <row r="270">
      <c r="A270" s="7">
        <f>SaaS_Metrics!A46</f>
        <v/>
      </c>
      <c r="B270" s="7">
        <f>SaaS_Metrics!C46</f>
        <v/>
      </c>
    </row>
    <row r="271">
      <c r="A271" s="7">
        <f>SaaS_Metrics!A47</f>
        <v/>
      </c>
      <c r="B271" s="7">
        <f>SaaS_Metrics!C47</f>
        <v/>
      </c>
    </row>
    <row r="272">
      <c r="A272" s="7">
        <f>SaaS_Metrics!A48</f>
        <v/>
      </c>
      <c r="B272" s="7">
        <f>SaaS_Metrics!C48</f>
        <v/>
      </c>
    </row>
    <row r="273">
      <c r="A273" s="7">
        <f>SaaS_Metrics!A49</f>
        <v/>
      </c>
      <c r="B273" s="7">
        <f>SaaS_Metrics!C49</f>
        <v/>
      </c>
    </row>
    <row r="274">
      <c r="A274" s="7">
        <f>SaaS_Metrics!A50</f>
        <v/>
      </c>
      <c r="B274" s="7">
        <f>SaaS_Metrics!C50</f>
        <v/>
      </c>
    </row>
    <row r="275">
      <c r="A275" s="7">
        <f>SaaS_Metrics!A51</f>
        <v/>
      </c>
      <c r="B275" s="7">
        <f>SaaS_Metrics!C51</f>
        <v/>
      </c>
    </row>
    <row r="276">
      <c r="A276" s="7">
        <f>SaaS_Metrics!A52</f>
        <v/>
      </c>
      <c r="B276" s="7">
        <f>SaaS_Metrics!C52</f>
        <v/>
      </c>
    </row>
    <row r="277">
      <c r="A277" s="7">
        <f>SaaS_Metrics!A53</f>
        <v/>
      </c>
      <c r="B277" s="7">
        <f>SaaS_Metrics!C53</f>
        <v/>
      </c>
    </row>
    <row r="279">
      <c r="A279" s="13" t="inlineStr">
        <is>
          <t>E1. ARR bridge, budget to forecast (step, GBP k, cumulative)</t>
        </is>
      </c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</row>
    <row r="280">
      <c r="A280" s="11" t="inlineStr">
        <is>
          <t>Step</t>
        </is>
      </c>
      <c r="B280" s="12" t="inlineStr">
        <is>
          <t>GBP k</t>
        </is>
      </c>
      <c r="C280" s="12" t="inlineStr">
        <is>
          <t>Cumulative</t>
        </is>
      </c>
    </row>
    <row r="281">
      <c r="A281" s="7">
        <f>Budget_vs_Forecast!A39</f>
        <v/>
      </c>
      <c r="B281" s="19">
        <f>Budget_vs_Forecast!B39</f>
        <v/>
      </c>
      <c r="C281" s="19">
        <f>Budget_vs_Forecast!C39</f>
        <v/>
      </c>
    </row>
    <row r="282">
      <c r="A282" s="7">
        <f>Budget_vs_Forecast!A40</f>
        <v/>
      </c>
      <c r="B282" s="19">
        <f>Budget_vs_Forecast!B40</f>
        <v/>
      </c>
      <c r="C282" s="19">
        <f>Budget_vs_Forecast!C40</f>
        <v/>
      </c>
    </row>
    <row r="283">
      <c r="A283" s="7">
        <f>Budget_vs_Forecast!A41</f>
        <v/>
      </c>
      <c r="B283" s="19">
        <f>Budget_vs_Forecast!B41</f>
        <v/>
      </c>
      <c r="C283" s="19">
        <f>Budget_vs_Forecast!C41</f>
        <v/>
      </c>
    </row>
    <row r="284">
      <c r="A284" s="7">
        <f>Budget_vs_Forecast!A42</f>
        <v/>
      </c>
      <c r="B284" s="19">
        <f>Budget_vs_Forecast!B42</f>
        <v/>
      </c>
      <c r="C284" s="19">
        <f>Budget_vs_Forecast!C42</f>
        <v/>
      </c>
    </row>
    <row r="285">
      <c r="A285" s="7">
        <f>Budget_vs_Forecast!A43</f>
        <v/>
      </c>
      <c r="B285" s="19">
        <f>Budget_vs_Forecast!B43</f>
        <v/>
      </c>
      <c r="C285" s="19">
        <f>Budget_vs_Forecast!C43</f>
        <v/>
      </c>
    </row>
    <row r="286">
      <c r="A286" s="7">
        <f>Budget_vs_Forecast!A44</f>
        <v/>
      </c>
      <c r="B286" s="19">
        <f>Budget_vs_Forecast!B44</f>
        <v/>
      </c>
      <c r="C286" s="19">
        <f>Budget_vs_Forecast!C44</f>
        <v/>
      </c>
    </row>
    <row r="287">
      <c r="A287" s="7">
        <f>Budget_vs_Forecast!A45</f>
        <v/>
      </c>
      <c r="B287" s="19">
        <f>Budget_vs_Forecast!B45</f>
        <v/>
      </c>
      <c r="C287" s="19">
        <f>Budget_vs_Forecast!C45</f>
        <v/>
      </c>
    </row>
    <row r="289">
      <c r="A289" s="13" t="inlineStr">
        <is>
          <t>E2. Revenue bridge, budget to forecast</t>
        </is>
      </c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</row>
    <row r="290">
      <c r="A290" s="11" t="inlineStr">
        <is>
          <t>Step</t>
        </is>
      </c>
      <c r="B290" s="12" t="inlineStr">
        <is>
          <t>GBP k</t>
        </is>
      </c>
      <c r="C290" s="12" t="inlineStr">
        <is>
          <t>Cumulative</t>
        </is>
      </c>
    </row>
    <row r="291">
      <c r="A291" s="7">
        <f>Budget_vs_Forecast!A49</f>
        <v/>
      </c>
      <c r="B291" s="19">
        <f>Budget_vs_Forecast!B49</f>
        <v/>
      </c>
      <c r="C291" s="19">
        <f>Budget_vs_Forecast!C49</f>
        <v/>
      </c>
    </row>
    <row r="292">
      <c r="A292" s="7">
        <f>Budget_vs_Forecast!A50</f>
        <v/>
      </c>
      <c r="B292" s="19">
        <f>Budget_vs_Forecast!B50</f>
        <v/>
      </c>
      <c r="C292" s="19">
        <f>Budget_vs_Forecast!C50</f>
        <v/>
      </c>
    </row>
    <row r="293">
      <c r="A293" s="7">
        <f>Budget_vs_Forecast!A51</f>
        <v/>
      </c>
      <c r="B293" s="19">
        <f>Budget_vs_Forecast!B51</f>
        <v/>
      </c>
      <c r="C293" s="19">
        <f>Budget_vs_Forecast!C51</f>
        <v/>
      </c>
    </row>
    <row r="294">
      <c r="A294" s="7">
        <f>Budget_vs_Forecast!A52</f>
        <v/>
      </c>
      <c r="B294" s="19">
        <f>Budget_vs_Forecast!B52</f>
        <v/>
      </c>
      <c r="C294" s="19">
        <f>Budget_vs_Forecast!C52</f>
        <v/>
      </c>
    </row>
    <row r="295">
      <c r="A295" s="7">
        <f>Budget_vs_Forecast!A53</f>
        <v/>
      </c>
      <c r="B295" s="19">
        <f>Budget_vs_Forecast!B53</f>
        <v/>
      </c>
      <c r="C295" s="19">
        <f>Budget_vs_Forecast!C53</f>
        <v/>
      </c>
    </row>
    <row r="296">
      <c r="A296" s="7">
        <f>Budget_vs_Forecast!A54</f>
        <v/>
      </c>
      <c r="B296" s="19">
        <f>Budget_vs_Forecast!B54</f>
        <v/>
      </c>
      <c r="C296" s="19">
        <f>Budget_vs_Forecast!C54</f>
        <v/>
      </c>
    </row>
    <row r="297">
      <c r="A297" s="7">
        <f>Budget_vs_Forecast!A55</f>
        <v/>
      </c>
      <c r="B297" s="19">
        <f>Budget_vs_Forecast!B55</f>
        <v/>
      </c>
      <c r="C297" s="19">
        <f>Budget_vs_Forecast!C55</f>
        <v/>
      </c>
    </row>
    <row r="299">
      <c r="A299" s="13" t="inlineStr">
        <is>
          <t>E3. EBITDA bridge, budget to forecast</t>
        </is>
      </c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</row>
    <row r="300">
      <c r="A300" s="11" t="inlineStr">
        <is>
          <t>Step</t>
        </is>
      </c>
      <c r="B300" s="12" t="inlineStr">
        <is>
          <t>GBP k</t>
        </is>
      </c>
      <c r="C300" s="12" t="inlineStr">
        <is>
          <t>Cumulative</t>
        </is>
      </c>
    </row>
    <row r="301">
      <c r="A301" s="7">
        <f>Budget_vs_Forecast!A59</f>
        <v/>
      </c>
      <c r="B301" s="19">
        <f>Budget_vs_Forecast!B59</f>
        <v/>
      </c>
      <c r="C301" s="19">
        <f>Budget_vs_Forecast!C59</f>
        <v/>
      </c>
    </row>
    <row r="302">
      <c r="A302" s="7">
        <f>Budget_vs_Forecast!A60</f>
        <v/>
      </c>
      <c r="B302" s="19">
        <f>Budget_vs_Forecast!B60</f>
        <v/>
      </c>
      <c r="C302" s="19">
        <f>Budget_vs_Forecast!C60</f>
        <v/>
      </c>
    </row>
    <row r="303">
      <c r="A303" s="7">
        <f>Budget_vs_Forecast!A61</f>
        <v/>
      </c>
      <c r="B303" s="19">
        <f>Budget_vs_Forecast!B61</f>
        <v/>
      </c>
      <c r="C303" s="19">
        <f>Budget_vs_Forecast!C61</f>
        <v/>
      </c>
    </row>
    <row r="304">
      <c r="A304" s="7">
        <f>Budget_vs_Forecast!A62</f>
        <v/>
      </c>
      <c r="B304" s="19">
        <f>Budget_vs_Forecast!B62</f>
        <v/>
      </c>
      <c r="C304" s="19">
        <f>Budget_vs_Forecast!C62</f>
        <v/>
      </c>
    </row>
    <row r="305">
      <c r="A305" s="7">
        <f>Budget_vs_Forecast!A63</f>
        <v/>
      </c>
      <c r="B305" s="19">
        <f>Budget_vs_Forecast!B63</f>
        <v/>
      </c>
      <c r="C305" s="19">
        <f>Budget_vs_Forecast!C63</f>
        <v/>
      </c>
    </row>
    <row r="306">
      <c r="A306" s="7">
        <f>Budget_vs_Forecast!A64</f>
        <v/>
      </c>
      <c r="B306" s="19">
        <f>Budget_vs_Forecast!B64</f>
        <v/>
      </c>
      <c r="C306" s="19">
        <f>Budget_vs_Forecast!C64</f>
        <v/>
      </c>
    </row>
    <row r="307">
      <c r="A307" s="7">
        <f>Budget_vs_Forecast!A65</f>
        <v/>
      </c>
      <c r="B307" s="19">
        <f>Budget_vs_Forecast!B65</f>
        <v/>
      </c>
      <c r="C307" s="19">
        <f>Budget_vs_Forecast!C65</f>
        <v/>
      </c>
    </row>
    <row r="309">
      <c r="A309" s="13" t="inlineStr">
        <is>
          <t>F. Football field, enterprise value GBP m (method, low, mid, high)</t>
        </is>
      </c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</row>
    <row r="310">
      <c r="A310" s="11" t="inlineStr">
        <is>
          <t>Method</t>
        </is>
      </c>
      <c r="B310" s="12" t="inlineStr">
        <is>
          <t>Low</t>
        </is>
      </c>
      <c r="C310" s="12" t="inlineStr">
        <is>
          <t>Mid</t>
        </is>
      </c>
      <c r="D310" s="12" t="inlineStr">
        <is>
          <t>High</t>
        </is>
      </c>
    </row>
    <row r="311">
      <c r="A311" s="7">
        <f>MA_Valuation!A44</f>
        <v/>
      </c>
      <c r="B311" s="15">
        <f>MA_Valuation!C44</f>
        <v/>
      </c>
      <c r="C311" s="15">
        <f>MA_Valuation!D44</f>
        <v/>
      </c>
      <c r="D311" s="15">
        <f>MA_Valuation!E44</f>
        <v/>
      </c>
    </row>
    <row r="312">
      <c r="A312" s="7">
        <f>MA_Valuation!A45</f>
        <v/>
      </c>
      <c r="B312" s="15">
        <f>MA_Valuation!C45</f>
        <v/>
      </c>
      <c r="C312" s="15">
        <f>MA_Valuation!D45</f>
        <v/>
      </c>
      <c r="D312" s="15">
        <f>MA_Valuation!E45</f>
        <v/>
      </c>
    </row>
    <row r="313">
      <c r="A313" s="7">
        <f>MA_Valuation!A46</f>
        <v/>
      </c>
      <c r="B313" s="15">
        <f>MA_Valuation!C46</f>
        <v/>
      </c>
      <c r="C313" s="15">
        <f>MA_Valuation!D46</f>
        <v/>
      </c>
      <c r="D313" s="15">
        <f>MA_Valuation!E46</f>
        <v/>
      </c>
    </row>
    <row r="314">
      <c r="A314" s="7">
        <f>MA_Valuation!A47</f>
        <v/>
      </c>
      <c r="B314" s="15">
        <f>MA_Valuation!C47</f>
        <v/>
      </c>
      <c r="C314" s="15">
        <f>MA_Valuation!D47</f>
        <v/>
      </c>
      <c r="D314" s="15">
        <f>MA_Valuation!E47</f>
        <v/>
      </c>
    </row>
    <row r="315">
      <c r="A315" s="7">
        <f>MA_Valuation!A48</f>
        <v/>
      </c>
      <c r="B315" s="15">
        <f>MA_Valuation!C48</f>
        <v/>
      </c>
      <c r="C315" s="15">
        <f>MA_Valuation!D48</f>
        <v/>
      </c>
      <c r="D315" s="15">
        <f>MA_Valuation!E48</f>
        <v/>
      </c>
    </row>
    <row r="317">
      <c r="A317" s="13" t="inlineStr">
        <is>
          <t>G. Purchase price allocation (line, IFRS 3, US GAAP)</t>
        </is>
      </c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</row>
    <row r="318">
      <c r="A318" s="11" t="inlineStr">
        <is>
          <t>Line</t>
        </is>
      </c>
      <c r="B318" s="12" t="inlineStr">
        <is>
          <t>IFRS 3</t>
        </is>
      </c>
      <c r="C318" s="12" t="inlineStr">
        <is>
          <t>US GAAP</t>
        </is>
      </c>
    </row>
    <row r="319">
      <c r="A319" s="7">
        <f>MA_PPA!A6</f>
        <v/>
      </c>
      <c r="B319" s="19">
        <f>MA_PPA!C6</f>
        <v/>
      </c>
      <c r="C319" s="19">
        <f>MA_PPA!D6</f>
        <v/>
      </c>
    </row>
    <row r="320">
      <c r="A320" s="7">
        <f>MA_PPA!A7</f>
        <v/>
      </c>
      <c r="B320" s="19">
        <f>MA_PPA!C7</f>
        <v/>
      </c>
      <c r="C320" s="19">
        <f>MA_PPA!D7</f>
        <v/>
      </c>
    </row>
    <row r="321">
      <c r="A321" s="7">
        <f>MA_PPA!A8</f>
        <v/>
      </c>
      <c r="B321" s="19">
        <f>MA_PPA!C8</f>
        <v/>
      </c>
      <c r="C321" s="19">
        <f>MA_PPA!D8</f>
        <v/>
      </c>
    </row>
    <row r="322">
      <c r="A322" s="7">
        <f>MA_PPA!A9</f>
        <v/>
      </c>
      <c r="B322" s="19">
        <f>MA_PPA!C9</f>
        <v/>
      </c>
      <c r="C322" s="19">
        <f>MA_PPA!D9</f>
        <v/>
      </c>
    </row>
    <row r="323">
      <c r="A323" s="7">
        <f>MA_PPA!A10</f>
        <v/>
      </c>
      <c r="B323" s="19">
        <f>MA_PPA!C10</f>
        <v/>
      </c>
      <c r="C323" s="19">
        <f>MA_PPA!D10</f>
        <v/>
      </c>
    </row>
    <row r="324">
      <c r="A324" s="7">
        <f>MA_PPA!A11</f>
        <v/>
      </c>
      <c r="B324" s="19">
        <f>MA_PPA!C11</f>
        <v/>
      </c>
      <c r="C324" s="19">
        <f>MA_PPA!D11</f>
        <v/>
      </c>
    </row>
    <row r="325">
      <c r="A325" s="7">
        <f>MA_PPA!A12</f>
        <v/>
      </c>
      <c r="B325" s="19">
        <f>MA_PPA!C12</f>
        <v/>
      </c>
      <c r="C325" s="19">
        <f>MA_PPA!D12</f>
        <v/>
      </c>
    </row>
    <row r="326">
      <c r="A326" s="7">
        <f>MA_PPA!A13</f>
        <v/>
      </c>
      <c r="B326" s="19">
        <f>MA_PPA!C13</f>
        <v/>
      </c>
      <c r="C326" s="19">
        <f>MA_PPA!D13</f>
        <v/>
      </c>
    </row>
    <row r="327">
      <c r="A327" s="7">
        <f>MA_PPA!A16</f>
        <v/>
      </c>
      <c r="B327" s="19">
        <f>MA_PPA!C16</f>
        <v/>
      </c>
      <c r="C327" s="19">
        <f>MA_PPA!D16</f>
        <v/>
      </c>
    </row>
    <row r="328">
      <c r="A328" s="7">
        <f>MA_PPA!A17</f>
        <v/>
      </c>
      <c r="B328" s="19">
        <f>MA_PPA!C17</f>
        <v/>
      </c>
      <c r="C328" s="19">
        <f>MA_PPA!D17</f>
        <v/>
      </c>
    </row>
    <row r="329">
      <c r="A329" s="7">
        <f>MA_PPA!A18</f>
        <v/>
      </c>
      <c r="B329" s="19">
        <f>MA_PPA!C18</f>
        <v/>
      </c>
      <c r="C329" s="19">
        <f>MA_PPA!D18</f>
        <v/>
      </c>
    </row>
    <row r="330">
      <c r="A330" s="7">
        <f>MA_PPA!A19</f>
        <v/>
      </c>
      <c r="B330" s="19">
        <f>MA_PPA!C19</f>
        <v/>
      </c>
      <c r="C330" s="19">
        <f>MA_PPA!D19</f>
        <v/>
      </c>
    </row>
    <row r="331">
      <c r="A331" s="7">
        <f>MA_PPA!A20</f>
        <v/>
      </c>
      <c r="B331" s="19">
        <f>MA_PPA!C20</f>
        <v/>
      </c>
      <c r="C331" s="19">
        <f>MA_PPA!D20</f>
        <v/>
      </c>
    </row>
    <row r="332">
      <c r="A332" s="7">
        <f>MA_PPA!A21</f>
        <v/>
      </c>
      <c r="B332" s="19">
        <f>MA_PPA!C21</f>
        <v/>
      </c>
      <c r="C332" s="19">
        <f>MA_PPA!D21</f>
        <v/>
      </c>
    </row>
    <row r="333">
      <c r="A333" s="7">
        <f>MA_PPA!A24</f>
        <v/>
      </c>
      <c r="B333" s="19">
        <f>MA_PPA!C24</f>
        <v/>
      </c>
      <c r="C333" s="19">
        <f>MA_PPA!D24</f>
        <v/>
      </c>
    </row>
    <row r="334">
      <c r="A334" s="7">
        <f>MA_PPA!A25</f>
        <v/>
      </c>
      <c r="B334" s="19">
        <f>MA_PPA!C25</f>
        <v/>
      </c>
      <c r="C334" s="19">
        <f>MA_PPA!D25</f>
        <v/>
      </c>
    </row>
    <row r="335">
      <c r="A335" s="7">
        <f>MA_PPA!A26</f>
        <v/>
      </c>
      <c r="B335" s="19">
        <f>MA_PPA!C26</f>
        <v/>
      </c>
      <c r="C335" s="19">
        <f>MA_PPA!D26</f>
        <v/>
      </c>
    </row>
    <row r="336">
      <c r="A336" s="7">
        <f>MA_PPA!A27</f>
        <v/>
      </c>
      <c r="B336" s="19">
        <f>MA_PPA!C27</f>
        <v/>
      </c>
      <c r="C336" s="19">
        <f>MA_PPA!D27</f>
        <v/>
      </c>
    </row>
    <row r="337">
      <c r="A337" s="7">
        <f>MA_PPA!A28</f>
        <v/>
      </c>
      <c r="B337" s="19">
        <f>MA_PPA!C28</f>
        <v/>
      </c>
      <c r="C337" s="19">
        <f>MA_PPA!D28</f>
        <v/>
      </c>
    </row>
    <row r="338">
      <c r="A338" s="7">
        <f>MA_PPA!A31</f>
        <v/>
      </c>
      <c r="B338" s="19">
        <f>MA_PPA!C31</f>
        <v/>
      </c>
      <c r="C338" s="19">
        <f>MA_PPA!D31</f>
        <v/>
      </c>
    </row>
    <row r="339">
      <c r="A339" s="7">
        <f>MA_PPA!A32</f>
        <v/>
      </c>
      <c r="B339" s="19">
        <f>MA_PPA!C32</f>
        <v/>
      </c>
      <c r="C339" s="19">
        <f>MA_PPA!D32</f>
        <v/>
      </c>
    </row>
    <row r="340">
      <c r="A340" s="7">
        <f>MA_PPA!A35</f>
        <v/>
      </c>
      <c r="B340" s="19">
        <f>MA_PPA!C35</f>
        <v/>
      </c>
      <c r="C340" s="19">
        <f>MA_PPA!D35</f>
        <v/>
      </c>
    </row>
    <row r="341">
      <c r="A341" s="7">
        <f>MA_PPA!A36</f>
        <v/>
      </c>
      <c r="B341" s="19">
        <f>MA_PPA!C36</f>
        <v/>
      </c>
      <c r="C341" s="19">
        <f>MA_PPA!D36</f>
        <v/>
      </c>
    </row>
    <row r="342">
      <c r="A342" s="7">
        <f>MA_PPA!A37</f>
        <v/>
      </c>
      <c r="B342" s="19">
        <f>MA_PPA!C37</f>
        <v/>
      </c>
      <c r="C342" s="19">
        <f>MA_PPA!D37</f>
        <v/>
      </c>
    </row>
    <row r="344">
      <c r="A344" s="13" t="inlineStr">
        <is>
          <t>H. Every integrity check (name, value, tolerance, pass)</t>
        </is>
      </c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</row>
    <row r="345">
      <c r="A345" s="11" t="inlineStr">
        <is>
          <t>Check</t>
        </is>
      </c>
      <c r="B345" s="12" t="inlineStr">
        <is>
          <t>Value</t>
        </is>
      </c>
      <c r="C345" s="12" t="inlineStr">
        <is>
          <t>Tolerance</t>
        </is>
      </c>
      <c r="D345" s="12" t="inlineStr">
        <is>
          <t>Pass</t>
        </is>
      </c>
    </row>
    <row r="346">
      <c r="A346" s="7">
        <f>Checks!A5</f>
        <v/>
      </c>
      <c r="B346" s="76">
        <f>Checks!C5</f>
        <v/>
      </c>
      <c r="C346" s="76">
        <f>Checks!D5</f>
        <v/>
      </c>
      <c r="D346" s="74">
        <f>Checks!E5</f>
        <v/>
      </c>
    </row>
    <row r="347">
      <c r="A347" s="7">
        <f>Checks!A6</f>
        <v/>
      </c>
      <c r="B347" s="76">
        <f>Checks!C6</f>
        <v/>
      </c>
      <c r="C347" s="76">
        <f>Checks!D6</f>
        <v/>
      </c>
      <c r="D347" s="74">
        <f>Checks!E6</f>
        <v/>
      </c>
    </row>
    <row r="348">
      <c r="A348" s="7">
        <f>Checks!A7</f>
        <v/>
      </c>
      <c r="B348" s="76">
        <f>Checks!C7</f>
        <v/>
      </c>
      <c r="C348" s="76">
        <f>Checks!D7</f>
        <v/>
      </c>
      <c r="D348" s="74">
        <f>Checks!E7</f>
        <v/>
      </c>
    </row>
    <row r="349">
      <c r="A349" s="7">
        <f>Checks!A8</f>
        <v/>
      </c>
      <c r="B349" s="76">
        <f>Checks!C8</f>
        <v/>
      </c>
      <c r="C349" s="76">
        <f>Checks!D8</f>
        <v/>
      </c>
      <c r="D349" s="74">
        <f>Checks!E8</f>
        <v/>
      </c>
    </row>
    <row r="350">
      <c r="A350" s="7">
        <f>Checks!A9</f>
        <v/>
      </c>
      <c r="B350" s="76">
        <f>Checks!C9</f>
        <v/>
      </c>
      <c r="C350" s="76">
        <f>Checks!D9</f>
        <v/>
      </c>
      <c r="D350" s="74">
        <f>Checks!E9</f>
        <v/>
      </c>
    </row>
    <row r="351">
      <c r="A351" s="7">
        <f>Checks!A10</f>
        <v/>
      </c>
      <c r="B351" s="76">
        <f>Checks!C10</f>
        <v/>
      </c>
      <c r="C351" s="76">
        <f>Checks!D10</f>
        <v/>
      </c>
      <c r="D351" s="74">
        <f>Checks!E10</f>
        <v/>
      </c>
    </row>
    <row r="352">
      <c r="A352" s="7">
        <f>Checks!A11</f>
        <v/>
      </c>
      <c r="B352" s="76">
        <f>Checks!C11</f>
        <v/>
      </c>
      <c r="C352" s="76">
        <f>Checks!D11</f>
        <v/>
      </c>
      <c r="D352" s="74">
        <f>Checks!E11</f>
        <v/>
      </c>
    </row>
    <row r="353">
      <c r="A353" s="7">
        <f>Checks!A12</f>
        <v/>
      </c>
      <c r="B353" s="76">
        <f>Checks!C12</f>
        <v/>
      </c>
      <c r="C353" s="76">
        <f>Checks!D12</f>
        <v/>
      </c>
      <c r="D353" s="74">
        <f>Checks!E12</f>
        <v/>
      </c>
    </row>
    <row r="354">
      <c r="A354" s="7">
        <f>Checks!A13</f>
        <v/>
      </c>
      <c r="B354" s="76">
        <f>Checks!C13</f>
        <v/>
      </c>
      <c r="C354" s="76">
        <f>Checks!D13</f>
        <v/>
      </c>
      <c r="D354" s="74">
        <f>Checks!E13</f>
        <v/>
      </c>
    </row>
    <row r="355">
      <c r="A355" s="7">
        <f>Checks!A14</f>
        <v/>
      </c>
      <c r="B355" s="76">
        <f>Checks!C14</f>
        <v/>
      </c>
      <c r="C355" s="76">
        <f>Checks!D14</f>
        <v/>
      </c>
      <c r="D355" s="74">
        <f>Checks!E14</f>
        <v/>
      </c>
    </row>
    <row r="356">
      <c r="A356" s="7">
        <f>Checks!A15</f>
        <v/>
      </c>
      <c r="B356" s="76">
        <f>Checks!C15</f>
        <v/>
      </c>
      <c r="C356" s="76">
        <f>Checks!D15</f>
        <v/>
      </c>
      <c r="D356" s="74">
        <f>Checks!E15</f>
        <v/>
      </c>
    </row>
    <row r="357">
      <c r="A357" s="7">
        <f>Checks!A16</f>
        <v/>
      </c>
      <c r="B357" s="76">
        <f>Checks!C16</f>
        <v/>
      </c>
      <c r="C357" s="76">
        <f>Checks!D16</f>
        <v/>
      </c>
      <c r="D357" s="74">
        <f>Checks!E16</f>
        <v/>
      </c>
    </row>
    <row r="358">
      <c r="A358" s="7">
        <f>Checks!A17</f>
        <v/>
      </c>
      <c r="B358" s="76">
        <f>Checks!C17</f>
        <v/>
      </c>
      <c r="C358" s="76">
        <f>Checks!D17</f>
        <v/>
      </c>
      <c r="D358" s="74">
        <f>Checks!E17</f>
        <v/>
      </c>
    </row>
    <row r="359">
      <c r="A359" s="7">
        <f>Checks!A18</f>
        <v/>
      </c>
      <c r="B359" s="76">
        <f>Checks!C18</f>
        <v/>
      </c>
      <c r="C359" s="76">
        <f>Checks!D18</f>
        <v/>
      </c>
      <c r="D359" s="74">
        <f>Checks!E18</f>
        <v/>
      </c>
    </row>
    <row r="360">
      <c r="A360" s="7">
        <f>Checks!A19</f>
        <v/>
      </c>
      <c r="B360" s="76">
        <f>Checks!C19</f>
        <v/>
      </c>
      <c r="C360" s="76">
        <f>Checks!D19</f>
        <v/>
      </c>
      <c r="D360" s="74">
        <f>Checks!E19</f>
        <v/>
      </c>
    </row>
    <row r="361">
      <c r="A361" s="7">
        <f>Checks!A20</f>
        <v/>
      </c>
      <c r="B361" s="76">
        <f>Checks!C20</f>
        <v/>
      </c>
      <c r="C361" s="76">
        <f>Checks!D20</f>
        <v/>
      </c>
      <c r="D361" s="74">
        <f>Checks!E20</f>
        <v/>
      </c>
    </row>
    <row r="362">
      <c r="A362" s="7">
        <f>Checks!A21</f>
        <v/>
      </c>
      <c r="B362" s="76">
        <f>Checks!C21</f>
        <v/>
      </c>
      <c r="C362" s="76">
        <f>Checks!D21</f>
        <v/>
      </c>
      <c r="D362" s="74">
        <f>Checks!E21</f>
        <v/>
      </c>
    </row>
    <row r="363">
      <c r="A363" s="7">
        <f>Checks!A22</f>
        <v/>
      </c>
      <c r="B363" s="76">
        <f>Checks!C22</f>
        <v/>
      </c>
      <c r="C363" s="76">
        <f>Checks!D22</f>
        <v/>
      </c>
      <c r="D363" s="74">
        <f>Checks!E22</f>
        <v/>
      </c>
    </row>
    <row r="364">
      <c r="A364" s="7">
        <f>Checks!A23</f>
        <v/>
      </c>
      <c r="B364" s="76">
        <f>Checks!C23</f>
        <v/>
      </c>
      <c r="C364" s="76">
        <f>Checks!D23</f>
        <v/>
      </c>
      <c r="D364" s="74">
        <f>Checks!E23</f>
        <v/>
      </c>
    </row>
    <row r="365">
      <c r="A365" s="7">
        <f>Checks!A24</f>
        <v/>
      </c>
      <c r="B365" s="76">
        <f>Checks!C24</f>
        <v/>
      </c>
      <c r="C365" s="76">
        <f>Checks!D24</f>
        <v/>
      </c>
      <c r="D365" s="74">
        <f>Checks!E24</f>
        <v/>
      </c>
    </row>
    <row r="366">
      <c r="A366" s="7">
        <f>Checks!A25</f>
        <v/>
      </c>
      <c r="B366" s="76">
        <f>Checks!C25</f>
        <v/>
      </c>
      <c r="C366" s="76">
        <f>Checks!D25</f>
        <v/>
      </c>
      <c r="D366" s="74">
        <f>Checks!E25</f>
        <v/>
      </c>
    </row>
    <row r="367">
      <c r="A367" s="7">
        <f>Checks!A26</f>
        <v/>
      </c>
      <c r="B367" s="76">
        <f>Checks!C26</f>
        <v/>
      </c>
      <c r="C367" s="76">
        <f>Checks!D26</f>
        <v/>
      </c>
      <c r="D367" s="74">
        <f>Checks!E26</f>
        <v/>
      </c>
    </row>
    <row r="368">
      <c r="A368" s="7">
        <f>Checks!A27</f>
        <v/>
      </c>
      <c r="B368" s="76">
        <f>Checks!C27</f>
        <v/>
      </c>
      <c r="C368" s="76">
        <f>Checks!D27</f>
        <v/>
      </c>
      <c r="D368" s="74">
        <f>Checks!E27</f>
        <v/>
      </c>
    </row>
    <row r="369">
      <c r="A369" s="7">
        <f>Checks!A28</f>
        <v/>
      </c>
      <c r="B369" s="76">
        <f>Checks!C28</f>
        <v/>
      </c>
      <c r="C369" s="76">
        <f>Checks!D28</f>
        <v/>
      </c>
      <c r="D369" s="74">
        <f>Checks!E28</f>
        <v/>
      </c>
    </row>
    <row r="370">
      <c r="A370" s="7">
        <f>Checks!A29</f>
        <v/>
      </c>
      <c r="B370" s="76">
        <f>Checks!C29</f>
        <v/>
      </c>
      <c r="C370" s="76">
        <f>Checks!D29</f>
        <v/>
      </c>
      <c r="D370" s="74">
        <f>Checks!E29</f>
        <v/>
      </c>
    </row>
    <row r="371">
      <c r="A371" s="7">
        <f>Checks!A30</f>
        <v/>
      </c>
      <c r="B371" s="76">
        <f>Checks!C30</f>
        <v/>
      </c>
      <c r="C371" s="76">
        <f>Checks!D30</f>
        <v/>
      </c>
      <c r="D371" s="74">
        <f>Checks!E30</f>
        <v/>
      </c>
    </row>
    <row r="372">
      <c r="A372" s="7">
        <f>Checks!A31</f>
        <v/>
      </c>
      <c r="B372" s="76">
        <f>Checks!C31</f>
        <v/>
      </c>
      <c r="C372" s="76">
        <f>Checks!D31</f>
        <v/>
      </c>
      <c r="D372" s="74">
        <f>Checks!E31</f>
        <v/>
      </c>
    </row>
    <row r="373">
      <c r="A373" s="7">
        <f>Checks!A32</f>
        <v/>
      </c>
      <c r="B373" s="76">
        <f>Checks!C32</f>
        <v/>
      </c>
      <c r="C373" s="76">
        <f>Checks!D32</f>
        <v/>
      </c>
      <c r="D373" s="74">
        <f>Checks!E32</f>
        <v/>
      </c>
    </row>
    <row r="374">
      <c r="A374" s="7">
        <f>Checks!A33</f>
        <v/>
      </c>
      <c r="B374" s="76">
        <f>Checks!C33</f>
        <v/>
      </c>
      <c r="C374" s="76">
        <f>Checks!D33</f>
        <v/>
      </c>
      <c r="D374" s="74">
        <f>Checks!E33</f>
        <v/>
      </c>
    </row>
    <row r="375">
      <c r="A375" s="7">
        <f>Checks!A34</f>
        <v/>
      </c>
      <c r="B375" s="76">
        <f>Checks!C34</f>
        <v/>
      </c>
      <c r="C375" s="76">
        <f>Checks!D34</f>
        <v/>
      </c>
      <c r="D375" s="74">
        <f>Checks!E34</f>
        <v/>
      </c>
    </row>
    <row r="376">
      <c r="A376" s="7">
        <f>Checks!A35</f>
        <v/>
      </c>
      <c r="B376" s="76">
        <f>Checks!C35</f>
        <v/>
      </c>
      <c r="C376" s="76">
        <f>Checks!D35</f>
        <v/>
      </c>
      <c r="D376" s="74">
        <f>Checks!E35</f>
        <v/>
      </c>
    </row>
    <row r="377">
      <c r="A377" s="7">
        <f>Checks!A36</f>
        <v/>
      </c>
      <c r="B377" s="76">
        <f>Checks!C36</f>
        <v/>
      </c>
      <c r="C377" s="76">
        <f>Checks!D36</f>
        <v/>
      </c>
      <c r="D377" s="74">
        <f>Checks!E36</f>
        <v/>
      </c>
    </row>
    <row r="378">
      <c r="A378" s="7">
        <f>Checks!A37</f>
        <v/>
      </c>
      <c r="B378" s="76">
        <f>Checks!C37</f>
        <v/>
      </c>
      <c r="C378" s="76">
        <f>Checks!D37</f>
        <v/>
      </c>
      <c r="D378" s="74">
        <f>Checks!E37</f>
        <v/>
      </c>
    </row>
    <row r="379">
      <c r="A379" s="7">
        <f>Checks!A38</f>
        <v/>
      </c>
      <c r="B379" s="76">
        <f>Checks!C38</f>
        <v/>
      </c>
      <c r="C379" s="76">
        <f>Checks!D38</f>
        <v/>
      </c>
      <c r="D379" s="74">
        <f>Checks!E38</f>
        <v/>
      </c>
    </row>
    <row r="380">
      <c r="A380" s="7">
        <f>Checks!A39</f>
        <v/>
      </c>
      <c r="B380" s="76">
        <f>Checks!C39</f>
        <v/>
      </c>
      <c r="C380" s="76">
        <f>Checks!D39</f>
        <v/>
      </c>
      <c r="D380" s="74">
        <f>Checks!E39</f>
        <v/>
      </c>
    </row>
    <row r="381">
      <c r="A381" s="7">
        <f>Checks!A40</f>
        <v/>
      </c>
      <c r="B381" s="76">
        <f>Checks!C40</f>
        <v/>
      </c>
      <c r="C381" s="76">
        <f>Checks!D40</f>
        <v/>
      </c>
      <c r="D381" s="74">
        <f>Checks!E40</f>
        <v/>
      </c>
    </row>
    <row r="382">
      <c r="A382" s="7">
        <f>Checks!A41</f>
        <v/>
      </c>
      <c r="B382" s="76">
        <f>Checks!C41</f>
        <v/>
      </c>
      <c r="C382" s="76">
        <f>Checks!D41</f>
        <v/>
      </c>
      <c r="D382" s="74">
        <f>Checks!E41</f>
        <v/>
      </c>
    </row>
    <row r="383">
      <c r="A383" s="7">
        <f>Checks!A42</f>
        <v/>
      </c>
      <c r="B383" s="76">
        <f>Checks!C42</f>
        <v/>
      </c>
      <c r="C383" s="76">
        <f>Checks!D42</f>
        <v/>
      </c>
      <c r="D383" s="74">
        <f>Checks!E42</f>
        <v/>
      </c>
    </row>
    <row r="384">
      <c r="A384" s="7">
        <f>Checks!A43</f>
        <v/>
      </c>
      <c r="B384" s="76">
        <f>Checks!C43</f>
        <v/>
      </c>
      <c r="C384" s="76">
        <f>Checks!D43</f>
        <v/>
      </c>
      <c r="D384" s="74">
        <f>Checks!E43</f>
        <v/>
      </c>
    </row>
    <row r="386">
      <c r="A386" s="13" t="inlineStr">
        <is>
          <t>I. Input registry: every web-facing input (the site builds its input panel from this)</t>
        </is>
      </c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</row>
    <row r="387">
      <c r="A387" s="11" t="inlineStr">
        <is>
          <t>Name</t>
        </is>
      </c>
      <c r="B387" s="12" t="inlineStr">
        <is>
          <t>Label</t>
        </is>
      </c>
      <c r="C387" s="12" t="inlineStr">
        <is>
          <t>Unit</t>
        </is>
      </c>
      <c r="D387" s="12" t="inlineStr">
        <is>
          <t>Live value</t>
        </is>
      </c>
      <c r="E387" s="12" t="inlineStr">
        <is>
          <t>Min</t>
        </is>
      </c>
      <c r="F387" s="12" t="inlineStr">
        <is>
          <t>Max</t>
        </is>
      </c>
      <c r="G387" s="12" t="inlineStr">
        <is>
          <t>Kind</t>
        </is>
      </c>
      <c r="H387" s="12" t="inlineStr">
        <is>
          <t>Scenario row</t>
        </is>
      </c>
      <c r="I387" s="12" t="inlineStr">
        <is>
          <t>Section</t>
        </is>
      </c>
      <c r="J387" s="12" t="inlineStr">
        <is>
          <t>Tooltip</t>
        </is>
      </c>
    </row>
    <row r="388">
      <c r="A388" s="5" t="inlineStr">
        <is>
          <t>inp_logos_ent</t>
        </is>
      </c>
      <c r="B388" s="5" t="inlineStr">
        <is>
          <t>New Enterprise logos per month</t>
        </is>
      </c>
      <c r="C388" s="2" t="inlineStr">
        <is>
          <t>#/mo</t>
        </is>
      </c>
      <c r="D388" s="15">
        <f>Inputs_Drivers!C9</f>
        <v/>
      </c>
      <c r="E388" s="15">
        <f>Inputs_Drivers!D9</f>
        <v/>
      </c>
      <c r="F388" s="15">
        <f>Inputs_Drivers!E9</f>
        <v/>
      </c>
      <c r="G388" s="2" t="inlineStr">
        <is>
          <t>scenario</t>
        </is>
      </c>
      <c r="H388" s="26">
        <f>ROW(Inputs_Scenarios!$A$6)</f>
        <v/>
      </c>
      <c r="I388" s="5" t="inlineStr">
        <is>
          <t>Growth</t>
        </is>
      </c>
      <c r="J388" s="5" t="inlineStr">
        <is>
          <t>New-logo ARR = logos x ACV. Biggest driver of ARR growth.</t>
        </is>
      </c>
    </row>
    <row r="389">
      <c r="A389" s="5" t="inlineStr">
        <is>
          <t>inp_logos_mid</t>
        </is>
      </c>
      <c r="B389" s="5" t="inlineStr">
        <is>
          <t>New Mid-market logos per month</t>
        </is>
      </c>
      <c r="C389" s="2" t="inlineStr">
        <is>
          <t>#/mo</t>
        </is>
      </c>
      <c r="D389" s="15">
        <f>Inputs_Drivers!C10</f>
        <v/>
      </c>
      <c r="E389" s="15">
        <f>Inputs_Drivers!D10</f>
        <v/>
      </c>
      <c r="F389" s="15">
        <f>Inputs_Drivers!E10</f>
        <v/>
      </c>
      <c r="G389" s="2" t="inlineStr">
        <is>
          <t>scenario</t>
        </is>
      </c>
      <c r="H389" s="26">
        <f>ROW(Inputs_Scenarios!$A$7)</f>
        <v/>
      </c>
      <c r="I389" s="5" t="inlineStr">
        <is>
          <t>Growth</t>
        </is>
      </c>
      <c r="J389" s="5" t="inlineStr">
        <is>
          <t>Volume engine for the Mid-market segment.</t>
        </is>
      </c>
    </row>
    <row r="390">
      <c r="A390" s="5" t="inlineStr">
        <is>
          <t>inp_logo_growth</t>
        </is>
      </c>
      <c r="B390" s="5" t="inlineStr">
        <is>
          <t>Annual growth in new-logo volume</t>
        </is>
      </c>
      <c r="C390" s="2" t="inlineStr">
        <is>
          <t>% p.a.</t>
        </is>
      </c>
      <c r="D390" s="17">
        <f>Inputs_Drivers!C11</f>
        <v/>
      </c>
      <c r="E390" s="17">
        <f>Inputs_Drivers!D11</f>
        <v/>
      </c>
      <c r="F390" s="17">
        <f>Inputs_Drivers!E11</f>
        <v/>
      </c>
      <c r="G390" s="2" t="inlineStr">
        <is>
          <t>scenario</t>
        </is>
      </c>
      <c r="H390" s="26">
        <f>ROW(Inputs_Scenarios!$A$8)</f>
        <v/>
      </c>
      <c r="I390" s="5" t="inlineStr">
        <is>
          <t>Growth</t>
        </is>
      </c>
      <c r="J390" s="5" t="inlineStr">
        <is>
          <t>Compounds monthly. Sales capacity proxy in the MVP.</t>
        </is>
      </c>
    </row>
    <row r="391">
      <c r="A391" s="5" t="inlineStr">
        <is>
          <t>inp_acv_ent</t>
        </is>
      </c>
      <c r="B391" s="5" t="inlineStr">
        <is>
          <t>Enterprise ACV (new logos)</t>
        </is>
      </c>
      <c r="C391" s="2" t="inlineStr">
        <is>
          <t>GBP k</t>
        </is>
      </c>
      <c r="D391" s="15">
        <f>Inputs_Drivers!C13</f>
        <v/>
      </c>
      <c r="E391" s="15">
        <f>Inputs_Drivers!D13</f>
        <v/>
      </c>
      <c r="F391" s="15">
        <f>Inputs_Drivers!E13</f>
        <v/>
      </c>
      <c r="G391" s="2" t="inlineStr">
        <is>
          <t>scenario</t>
        </is>
      </c>
      <c r="H391" s="26">
        <f>ROW(Inputs_Scenarios!$A$10)</f>
        <v/>
      </c>
      <c r="I391" s="5" t="inlineStr">
        <is>
          <t>Pricing</t>
        </is>
      </c>
      <c r="J391" s="5" t="inlineStr">
        <is>
          <t>Average annual contract value of a new Enterprise logo.</t>
        </is>
      </c>
    </row>
    <row r="392">
      <c r="A392" s="5" t="inlineStr">
        <is>
          <t>inp_acv_mid</t>
        </is>
      </c>
      <c r="B392" s="5" t="inlineStr">
        <is>
          <t>Mid-market ACV (new logos)</t>
        </is>
      </c>
      <c r="C392" s="2" t="inlineStr">
        <is>
          <t>GBP k</t>
        </is>
      </c>
      <c r="D392" s="15">
        <f>Inputs_Drivers!C14</f>
        <v/>
      </c>
      <c r="E392" s="15">
        <f>Inputs_Drivers!D14</f>
        <v/>
      </c>
      <c r="F392" s="15">
        <f>Inputs_Drivers!E14</f>
        <v/>
      </c>
      <c r="G392" s="2" t="inlineStr">
        <is>
          <t>scenario</t>
        </is>
      </c>
      <c r="H392" s="26">
        <f>ROW(Inputs_Scenarios!$A$11)</f>
        <v/>
      </c>
      <c r="I392" s="5" t="inlineStr">
        <is>
          <t>Pricing</t>
        </is>
      </c>
      <c r="J392" s="5" t="inlineStr">
        <is>
          <t>Average annual contract value of a new Mid-market logo.</t>
        </is>
      </c>
    </row>
    <row r="393">
      <c r="A393" s="5" t="inlineStr">
        <is>
          <t>inp_price_uplift</t>
        </is>
      </c>
      <c r="B393" s="5" t="inlineStr">
        <is>
          <t>Annual price uplift on new-logo ACV</t>
        </is>
      </c>
      <c r="C393" s="2" t="inlineStr">
        <is>
          <t>% p.a.</t>
        </is>
      </c>
      <c r="D393" s="17">
        <f>Inputs_Drivers!C15</f>
        <v/>
      </c>
      <c r="E393" s="17">
        <f>Inputs_Drivers!D15</f>
        <v/>
      </c>
      <c r="F393" s="17">
        <f>Inputs_Drivers!E15</f>
        <v/>
      </c>
      <c r="G393" s="2" t="inlineStr">
        <is>
          <t>scenario</t>
        </is>
      </c>
      <c r="H393" s="26">
        <f>ROW(Inputs_Scenarios!$A$12)</f>
        <v/>
      </c>
      <c r="I393" s="5" t="inlineStr">
        <is>
          <t>Pricing</t>
        </is>
      </c>
      <c r="J393" s="5" t="inlineStr">
        <is>
          <t>Applied from month 13, 25, ... to new-logo ACV.</t>
        </is>
      </c>
    </row>
    <row r="394">
      <c r="A394" s="5" t="inlineStr">
        <is>
          <t>inp_exp_ent</t>
        </is>
      </c>
      <c r="B394" s="5" t="inlineStr">
        <is>
          <t>Enterprise annual expansion</t>
        </is>
      </c>
      <c r="C394" s="2" t="inlineStr">
        <is>
          <t>% of ARR</t>
        </is>
      </c>
      <c r="D394" s="17">
        <f>Inputs_Drivers!C17</f>
        <v/>
      </c>
      <c r="E394" s="17">
        <f>Inputs_Drivers!D17</f>
        <v/>
      </c>
      <c r="F394" s="17">
        <f>Inputs_Drivers!E17</f>
        <v/>
      </c>
      <c r="G394" s="2" t="inlineStr">
        <is>
          <t>scenario</t>
        </is>
      </c>
      <c r="H394" s="26">
        <f>ROW(Inputs_Scenarios!$A$14)</f>
        <v/>
      </c>
      <c r="I394" s="5" t="inlineStr">
        <is>
          <t>Retention</t>
        </is>
      </c>
      <c r="J394" s="5" t="inlineStr">
        <is>
          <t>Upsell / cross-sell on the existing Enterprise base.</t>
        </is>
      </c>
    </row>
    <row r="395">
      <c r="A395" s="5" t="inlineStr">
        <is>
          <t>inp_exp_mid</t>
        </is>
      </c>
      <c r="B395" s="5" t="inlineStr">
        <is>
          <t>Mid-market annual expansion</t>
        </is>
      </c>
      <c r="C395" s="2" t="inlineStr">
        <is>
          <t>% of ARR</t>
        </is>
      </c>
      <c r="D395" s="17">
        <f>Inputs_Drivers!C18</f>
        <v/>
      </c>
      <c r="E395" s="17">
        <f>Inputs_Drivers!D18</f>
        <v/>
      </c>
      <c r="F395" s="17">
        <f>Inputs_Drivers!E18</f>
        <v/>
      </c>
      <c r="G395" s="2" t="inlineStr">
        <is>
          <t>scenario</t>
        </is>
      </c>
      <c r="H395" s="26">
        <f>ROW(Inputs_Scenarios!$A$15)</f>
        <v/>
      </c>
      <c r="I395" s="5" t="inlineStr">
        <is>
          <t>Retention</t>
        </is>
      </c>
      <c r="J395" s="5" t="inlineStr">
        <is>
          <t>Upsell on the existing Mid-market base.</t>
        </is>
      </c>
    </row>
    <row r="396">
      <c r="A396" s="5" t="inlineStr">
        <is>
          <t>inp_churn_ent</t>
        </is>
      </c>
      <c r="B396" s="5" t="inlineStr">
        <is>
          <t>Enterprise annual gross churn</t>
        </is>
      </c>
      <c r="C396" s="2" t="inlineStr">
        <is>
          <t>% of ARR</t>
        </is>
      </c>
      <c r="D396" s="17">
        <f>Inputs_Drivers!C19</f>
        <v/>
      </c>
      <c r="E396" s="17">
        <f>Inputs_Drivers!D19</f>
        <v/>
      </c>
      <c r="F396" s="17">
        <f>Inputs_Drivers!E19</f>
        <v/>
      </c>
      <c r="G396" s="2" t="inlineStr">
        <is>
          <t>scenario</t>
        </is>
      </c>
      <c r="H396" s="26">
        <f>ROW(Inputs_Scenarios!$A$16)</f>
        <v/>
      </c>
      <c r="I396" s="5" t="inlineStr">
        <is>
          <t>Retention</t>
        </is>
      </c>
      <c r="J396" s="5" t="inlineStr">
        <is>
          <t>Lost ARR (incl. contraction) from existing Enterprise customers.</t>
        </is>
      </c>
    </row>
    <row r="397">
      <c r="A397" s="5" t="inlineStr">
        <is>
          <t>inp_churn_mid</t>
        </is>
      </c>
      <c r="B397" s="5" t="inlineStr">
        <is>
          <t>Mid-market annual gross churn</t>
        </is>
      </c>
      <c r="C397" s="2" t="inlineStr">
        <is>
          <t>% of ARR</t>
        </is>
      </c>
      <c r="D397" s="17">
        <f>Inputs_Drivers!C20</f>
        <v/>
      </c>
      <c r="E397" s="17">
        <f>Inputs_Drivers!D20</f>
        <v/>
      </c>
      <c r="F397" s="17">
        <f>Inputs_Drivers!E20</f>
        <v/>
      </c>
      <c r="G397" s="2" t="inlineStr">
        <is>
          <t>scenario</t>
        </is>
      </c>
      <c r="H397" s="26">
        <f>ROW(Inputs_Scenarios!$A$17)</f>
        <v/>
      </c>
      <c r="I397" s="5" t="inlineStr">
        <is>
          <t>Retention</t>
        </is>
      </c>
      <c r="J397" s="5" t="inlineStr">
        <is>
          <t>Lost ARR (incl. contraction) from existing Mid-market customers.</t>
        </is>
      </c>
    </row>
    <row r="398">
      <c r="A398" s="5" t="inlineStr">
        <is>
          <t>inp_hires_rd</t>
        </is>
      </c>
      <c r="B398" s="5" t="inlineStr">
        <is>
          <t>R&amp;D net hires per month</t>
        </is>
      </c>
      <c r="C398" s="2" t="inlineStr">
        <is>
          <t>FTE/mo</t>
        </is>
      </c>
      <c r="D398" s="15">
        <f>Inputs_Drivers!C22</f>
        <v/>
      </c>
      <c r="E398" s="15">
        <f>Inputs_Drivers!D22</f>
        <v/>
      </c>
      <c r="F398" s="15">
        <f>Inputs_Drivers!E22</f>
        <v/>
      </c>
      <c r="G398" s="2" t="inlineStr">
        <is>
          <t>scenario</t>
        </is>
      </c>
      <c r="H398" s="26">
        <f>ROW(Inputs_Scenarios!$A$19)</f>
        <v/>
      </c>
      <c r="I398" s="5" t="inlineStr">
        <is>
          <t>People (hiring plan)</t>
        </is>
      </c>
      <c r="J398" s="5" t="inlineStr">
        <is>
          <t>Drives R&amp;D payroll.</t>
        </is>
      </c>
    </row>
    <row r="399">
      <c r="A399" s="5" t="inlineStr">
        <is>
          <t>inp_hires_sm</t>
        </is>
      </c>
      <c r="B399" s="5" t="inlineStr">
        <is>
          <t>Sales &amp; Marketing net hires per month</t>
        </is>
      </c>
      <c r="C399" s="2" t="inlineStr">
        <is>
          <t>FTE/mo</t>
        </is>
      </c>
      <c r="D399" s="15">
        <f>Inputs_Drivers!C23</f>
        <v/>
      </c>
      <c r="E399" s="15">
        <f>Inputs_Drivers!D23</f>
        <v/>
      </c>
      <c r="F399" s="15">
        <f>Inputs_Drivers!E23</f>
        <v/>
      </c>
      <c r="G399" s="2" t="inlineStr">
        <is>
          <t>scenario</t>
        </is>
      </c>
      <c r="H399" s="26">
        <f>ROW(Inputs_Scenarios!$A$20)</f>
        <v/>
      </c>
      <c r="I399" s="5" t="inlineStr">
        <is>
          <t>People (hiring plan)</t>
        </is>
      </c>
      <c r="J399" s="5" t="inlineStr">
        <is>
          <t>Drives S&amp;M payroll and CAC.</t>
        </is>
      </c>
    </row>
    <row r="400">
      <c r="A400" s="5" t="inlineStr">
        <is>
          <t>inp_hires_ga</t>
        </is>
      </c>
      <c r="B400" s="5" t="inlineStr">
        <is>
          <t>G&amp;A net hires per month</t>
        </is>
      </c>
      <c r="C400" s="2" t="inlineStr">
        <is>
          <t>FTE/mo</t>
        </is>
      </c>
      <c r="D400" s="15">
        <f>Inputs_Drivers!C24</f>
        <v/>
      </c>
      <c r="E400" s="15">
        <f>Inputs_Drivers!D24</f>
        <v/>
      </c>
      <c r="F400" s="15">
        <f>Inputs_Drivers!E24</f>
        <v/>
      </c>
      <c r="G400" s="2" t="inlineStr">
        <is>
          <t>scenario</t>
        </is>
      </c>
      <c r="H400" s="26">
        <f>ROW(Inputs_Scenarios!$A$21)</f>
        <v/>
      </c>
      <c r="I400" s="5" t="inlineStr">
        <is>
          <t>People (hiring plan)</t>
        </is>
      </c>
      <c r="J400" s="5" t="inlineStr">
        <is>
          <t>Drives G&amp;A payroll.</t>
        </is>
      </c>
    </row>
    <row r="401">
      <c r="A401" s="5" t="inlineStr">
        <is>
          <t>inp_hires_cs</t>
        </is>
      </c>
      <c r="B401" s="5" t="inlineStr">
        <is>
          <t>Customer Success net hires per month</t>
        </is>
      </c>
      <c r="C401" s="2" t="inlineStr">
        <is>
          <t>FTE/mo</t>
        </is>
      </c>
      <c r="D401" s="15">
        <f>Inputs_Drivers!C25</f>
        <v/>
      </c>
      <c r="E401" s="15">
        <f>Inputs_Drivers!D25</f>
        <v/>
      </c>
      <c r="F401" s="15">
        <f>Inputs_Drivers!E25</f>
        <v/>
      </c>
      <c r="G401" s="2" t="inlineStr">
        <is>
          <t>scenario</t>
        </is>
      </c>
      <c r="H401" s="26">
        <f>ROW(Inputs_Scenarios!$A$22)</f>
        <v/>
      </c>
      <c r="I401" s="5" t="inlineStr">
        <is>
          <t>People (hiring plan)</t>
        </is>
      </c>
      <c r="J401" s="5" t="inlineStr">
        <is>
          <t>Drives support payroll in COGS.</t>
        </is>
      </c>
    </row>
    <row r="402">
      <c r="A402" s="5" t="inlineStr">
        <is>
          <t>inp_dso</t>
        </is>
      </c>
      <c r="B402" s="5" t="inlineStr">
        <is>
          <t>Customer payment terms (DSO)</t>
        </is>
      </c>
      <c r="C402" s="2" t="inlineStr">
        <is>
          <t>days</t>
        </is>
      </c>
      <c r="D402" s="19">
        <f>Inputs_Drivers!C27</f>
        <v/>
      </c>
      <c r="E402" s="19">
        <f>Inputs_Drivers!D27</f>
        <v/>
      </c>
      <c r="F402" s="19">
        <f>Inputs_Drivers!E27</f>
        <v/>
      </c>
      <c r="G402" s="2" t="inlineStr">
        <is>
          <t>scenario</t>
        </is>
      </c>
      <c r="H402" s="26">
        <f>ROW(Inputs_Scenarios!$A$24)</f>
        <v/>
      </c>
      <c r="I402" s="5" t="inlineStr">
        <is>
          <t>Cash</t>
        </is>
      </c>
      <c r="J402" s="5" t="inlineStr">
        <is>
          <t>Days to collect an invoice. Drives receivables and cash timing.</t>
        </is>
      </c>
    </row>
    <row r="403">
      <c r="A403" s="5" t="inlineStr">
        <is>
          <t>inp_model_start</t>
        </is>
      </c>
      <c r="B403" s="5" t="inlineStr">
        <is>
          <t>Model start date (first forecast month)</t>
        </is>
      </c>
      <c r="C403" s="2" t="inlineStr">
        <is>
          <t>date</t>
        </is>
      </c>
      <c r="D403" s="75">
        <f>Inputs_Drivers!C29</f>
        <v/>
      </c>
      <c r="G403" s="2" t="inlineStr">
        <is>
          <t>static</t>
        </is>
      </c>
      <c r="I403" s="5" t="inlineStr">
        <is>
          <t>Timing and opening position (31 Dec before model start)</t>
        </is>
      </c>
      <c r="J403" s="5" t="inlineStr">
        <is>
          <t>Month 1 of the 24-month forecast.</t>
        </is>
      </c>
    </row>
    <row r="404">
      <c r="A404" s="5" t="inlineStr">
        <is>
          <t>inp_arr_open_ent</t>
        </is>
      </c>
      <c r="B404" s="5" t="inlineStr">
        <is>
          <t>Opening ARR - Enterprise</t>
        </is>
      </c>
      <c r="C404" s="2" t="inlineStr">
        <is>
          <t>GBP k</t>
        </is>
      </c>
      <c r="D404" s="19">
        <f>Inputs_Drivers!C30</f>
        <v/>
      </c>
      <c r="E404" s="19">
        <f>Inputs_Drivers!D30</f>
        <v/>
      </c>
      <c r="F404" s="19">
        <f>Inputs_Drivers!E30</f>
        <v/>
      </c>
      <c r="G404" s="2" t="inlineStr">
        <is>
          <t>static</t>
        </is>
      </c>
      <c r="I404" s="5" t="inlineStr">
        <is>
          <t>Timing and opening position (31 Dec before model start)</t>
        </is>
      </c>
      <c r="J404" s="5" t="inlineStr">
        <is>
          <t>Contracted ARR at the opening date.</t>
        </is>
      </c>
    </row>
    <row r="405">
      <c r="A405" s="5" t="inlineStr">
        <is>
          <t>inp_arr_open_mid</t>
        </is>
      </c>
      <c r="B405" s="5" t="inlineStr">
        <is>
          <t>Opening ARR - Mid-market</t>
        </is>
      </c>
      <c r="C405" s="2" t="inlineStr">
        <is>
          <t>GBP k</t>
        </is>
      </c>
      <c r="D405" s="19">
        <f>Inputs_Drivers!C31</f>
        <v/>
      </c>
      <c r="E405" s="19">
        <f>Inputs_Drivers!D31</f>
        <v/>
      </c>
      <c r="F405" s="19">
        <f>Inputs_Drivers!E31</f>
        <v/>
      </c>
      <c r="G405" s="2" t="inlineStr">
        <is>
          <t>static</t>
        </is>
      </c>
      <c r="I405" s="5" t="inlineStr">
        <is>
          <t>Timing and opening position (31 Dec before model start)</t>
        </is>
      </c>
      <c r="J405" s="5" t="inlineStr">
        <is>
          <t>Contracted ARR at the opening date.</t>
        </is>
      </c>
    </row>
    <row r="406">
      <c r="A406" s="5" t="inlineStr">
        <is>
          <t>inp_cust_open_ent</t>
        </is>
      </c>
      <c r="B406" s="5" t="inlineStr">
        <is>
          <t>Opening customers - Enterprise</t>
        </is>
      </c>
      <c r="C406" s="2" t="inlineStr">
        <is>
          <t>#</t>
        </is>
      </c>
      <c r="D406" s="19">
        <f>Inputs_Drivers!C32</f>
        <v/>
      </c>
      <c r="E406" s="19">
        <f>Inputs_Drivers!D32</f>
        <v/>
      </c>
      <c r="F406" s="19">
        <f>Inputs_Drivers!E32</f>
        <v/>
      </c>
      <c r="G406" s="2" t="inlineStr">
        <is>
          <t>static</t>
        </is>
      </c>
      <c r="I406" s="5" t="inlineStr">
        <is>
          <t>Timing and opening position (31 Dec before model start)</t>
        </is>
      </c>
      <c r="J406" s="5" t="inlineStr">
        <is>
          <t>Logo count at the opening date.</t>
        </is>
      </c>
    </row>
    <row r="407">
      <c r="A407" s="5" t="inlineStr">
        <is>
          <t>inp_cust_open_mid</t>
        </is>
      </c>
      <c r="B407" s="5" t="inlineStr">
        <is>
          <t>Opening customers - Mid-market</t>
        </is>
      </c>
      <c r="C407" s="2" t="inlineStr">
        <is>
          <t>#</t>
        </is>
      </c>
      <c r="D407" s="19">
        <f>Inputs_Drivers!C33</f>
        <v/>
      </c>
      <c r="E407" s="19">
        <f>Inputs_Drivers!D33</f>
        <v/>
      </c>
      <c r="F407" s="19">
        <f>Inputs_Drivers!E33</f>
        <v/>
      </c>
      <c r="G407" s="2" t="inlineStr">
        <is>
          <t>static</t>
        </is>
      </c>
      <c r="I407" s="5" t="inlineStr">
        <is>
          <t>Timing and opening position (31 Dec before model start)</t>
        </is>
      </c>
      <c r="J407" s="5" t="inlineStr">
        <is>
          <t>Logo count at the opening date.</t>
        </is>
      </c>
    </row>
    <row r="408">
      <c r="A408" s="5" t="inlineStr">
        <is>
          <t>inp_open_cash</t>
        </is>
      </c>
      <c r="B408" s="5" t="inlineStr">
        <is>
          <t>Opening cash</t>
        </is>
      </c>
      <c r="C408" s="2" t="inlineStr">
        <is>
          <t>GBP k</t>
        </is>
      </c>
      <c r="D408" s="19">
        <f>Inputs_Drivers!C34</f>
        <v/>
      </c>
      <c r="E408" s="19">
        <f>Inputs_Drivers!D34</f>
        <v/>
      </c>
      <c r="F408" s="19">
        <f>Inputs_Drivers!E34</f>
        <v/>
      </c>
      <c r="G408" s="2" t="inlineStr">
        <is>
          <t>static</t>
        </is>
      </c>
      <c r="I408" s="5" t="inlineStr">
        <is>
          <t>Timing and opening position (31 Dec before model start)</t>
        </is>
      </c>
      <c r="J408" s="5" t="inlineStr">
        <is>
          <t>Cash at the opening date.</t>
        </is>
      </c>
    </row>
    <row r="409">
      <c r="A409" s="5" t="inlineStr">
        <is>
          <t>inp_open_ar</t>
        </is>
      </c>
      <c r="B409" s="5" t="inlineStr">
        <is>
          <t>Opening trade receivables</t>
        </is>
      </c>
      <c r="C409" s="2" t="inlineStr">
        <is>
          <t>GBP k</t>
        </is>
      </c>
      <c r="D409" s="19">
        <f>Inputs_Drivers!C35</f>
        <v/>
      </c>
      <c r="E409" s="19">
        <f>Inputs_Drivers!D35</f>
        <v/>
      </c>
      <c r="F409" s="19">
        <f>Inputs_Drivers!E35</f>
        <v/>
      </c>
      <c r="G409" s="2" t="inlineStr">
        <is>
          <t>static</t>
        </is>
      </c>
      <c r="I409" s="5" t="inlineStr">
        <is>
          <t>Timing and opening position (31 Dec before model start)</t>
        </is>
      </c>
      <c r="J409" s="5" t="inlineStr">
        <is>
          <t>About 1.5 months of billings.</t>
        </is>
      </c>
    </row>
    <row r="410">
      <c r="A410" s="5" t="inlineStr">
        <is>
          <t>inp_open_ppe</t>
        </is>
      </c>
      <c r="B410" s="5" t="inlineStr">
        <is>
          <t>Opening PP&amp;E (net)</t>
        </is>
      </c>
      <c r="C410" s="2" t="inlineStr">
        <is>
          <t>GBP k</t>
        </is>
      </c>
      <c r="D410" s="19">
        <f>Inputs_Drivers!C36</f>
        <v/>
      </c>
      <c r="E410" s="19">
        <f>Inputs_Drivers!D36</f>
        <v/>
      </c>
      <c r="F410" s="19">
        <f>Inputs_Drivers!E36</f>
        <v/>
      </c>
      <c r="G410" s="2" t="inlineStr">
        <is>
          <t>static</t>
        </is>
      </c>
      <c r="I410" s="5" t="inlineStr">
        <is>
          <t>Timing and opening position (31 Dec before model start)</t>
        </is>
      </c>
      <c r="J410" s="5" t="inlineStr">
        <is>
          <t>Net book value at the opening date.</t>
        </is>
      </c>
    </row>
    <row r="411">
      <c r="A411" s="5" t="inlineStr">
        <is>
          <t>inp_open_ap</t>
        </is>
      </c>
      <c r="B411" s="5" t="inlineStr">
        <is>
          <t>Opening trade payables</t>
        </is>
      </c>
      <c r="C411" s="2" t="inlineStr">
        <is>
          <t>GBP k</t>
        </is>
      </c>
      <c r="D411" s="19">
        <f>Inputs_Drivers!C37</f>
        <v/>
      </c>
      <c r="E411" s="19">
        <f>Inputs_Drivers!D37</f>
        <v/>
      </c>
      <c r="F411" s="19">
        <f>Inputs_Drivers!E37</f>
        <v/>
      </c>
      <c r="G411" s="2" t="inlineStr">
        <is>
          <t>static</t>
        </is>
      </c>
      <c r="I411" s="5" t="inlineStr">
        <is>
          <t>Timing and opening position (31 Dec before model start)</t>
        </is>
      </c>
      <c r="J411" s="5" t="inlineStr">
        <is>
          <t>About one month of non-payroll spend.</t>
        </is>
      </c>
    </row>
    <row r="412">
      <c r="A412" s="5" t="inlineStr">
        <is>
          <t>inp_open_defrev_impl</t>
        </is>
      </c>
      <c r="B412" s="5" t="inlineStr">
        <is>
          <t>Opening deferred implementation revenue</t>
        </is>
      </c>
      <c r="C412" s="2" t="inlineStr">
        <is>
          <t>GBP k</t>
        </is>
      </c>
      <c r="D412" s="19">
        <f>Inputs_Drivers!C38</f>
        <v/>
      </c>
      <c r="E412" s="19">
        <f>Inputs_Drivers!D38</f>
        <v/>
      </c>
      <c r="F412" s="19">
        <f>Inputs_Drivers!E38</f>
        <v/>
      </c>
      <c r="G412" s="2" t="inlineStr">
        <is>
          <t>static</t>
        </is>
      </c>
      <c r="I412" s="5" t="inlineStr">
        <is>
          <t>Timing and opening position (31 Dec before model start)</t>
        </is>
      </c>
      <c r="J412" s="5" t="inlineStr">
        <is>
          <t>Subscription deferred revenue is derived from the billing history.</t>
        </is>
      </c>
    </row>
    <row r="413">
      <c r="A413" s="5" t="inlineStr">
        <is>
          <t>inp_heads_open_rd</t>
        </is>
      </c>
      <c r="B413" s="5" t="inlineStr">
        <is>
          <t>Opening headcount - R&amp;D</t>
        </is>
      </c>
      <c r="C413" s="2" t="inlineStr">
        <is>
          <t>FTE</t>
        </is>
      </c>
      <c r="D413" s="19">
        <f>Inputs_Drivers!C40</f>
        <v/>
      </c>
      <c r="E413" s="19">
        <f>Inputs_Drivers!D40</f>
        <v/>
      </c>
      <c r="F413" s="19">
        <f>Inputs_Drivers!E40</f>
        <v/>
      </c>
      <c r="G413" s="2" t="inlineStr">
        <is>
          <t>static</t>
        </is>
      </c>
      <c r="I413" s="5" t="inlineStr">
        <is>
          <t>People (static)</t>
        </is>
      </c>
      <c r="J413" s="5" t="inlineStr"/>
    </row>
    <row r="414">
      <c r="A414" s="5" t="inlineStr">
        <is>
          <t>inp_heads_open_sm</t>
        </is>
      </c>
      <c r="B414" s="5" t="inlineStr">
        <is>
          <t>Opening headcount - Sales &amp; Marketing</t>
        </is>
      </c>
      <c r="C414" s="2" t="inlineStr">
        <is>
          <t>FTE</t>
        </is>
      </c>
      <c r="D414" s="19">
        <f>Inputs_Drivers!C41</f>
        <v/>
      </c>
      <c r="E414" s="19">
        <f>Inputs_Drivers!D41</f>
        <v/>
      </c>
      <c r="F414" s="19">
        <f>Inputs_Drivers!E41</f>
        <v/>
      </c>
      <c r="G414" s="2" t="inlineStr">
        <is>
          <t>static</t>
        </is>
      </c>
      <c r="I414" s="5" t="inlineStr">
        <is>
          <t>People (static)</t>
        </is>
      </c>
      <c r="J414" s="5" t="inlineStr"/>
    </row>
    <row r="415">
      <c r="A415" s="5" t="inlineStr">
        <is>
          <t>inp_heads_open_ga</t>
        </is>
      </c>
      <c r="B415" s="5" t="inlineStr">
        <is>
          <t>Opening headcount - G&amp;A</t>
        </is>
      </c>
      <c r="C415" s="2" t="inlineStr">
        <is>
          <t>FTE</t>
        </is>
      </c>
      <c r="D415" s="19">
        <f>Inputs_Drivers!C42</f>
        <v/>
      </c>
      <c r="E415" s="19">
        <f>Inputs_Drivers!D42</f>
        <v/>
      </c>
      <c r="F415" s="19">
        <f>Inputs_Drivers!E42</f>
        <v/>
      </c>
      <c r="G415" s="2" t="inlineStr">
        <is>
          <t>static</t>
        </is>
      </c>
      <c r="I415" s="5" t="inlineStr">
        <is>
          <t>People (static)</t>
        </is>
      </c>
      <c r="J415" s="5" t="inlineStr"/>
    </row>
    <row r="416">
      <c r="A416" s="5" t="inlineStr">
        <is>
          <t>inp_heads_open_cs</t>
        </is>
      </c>
      <c r="B416" s="5" t="inlineStr">
        <is>
          <t>Opening headcount - Customer Success</t>
        </is>
      </c>
      <c r="C416" s="2" t="inlineStr">
        <is>
          <t>FTE</t>
        </is>
      </c>
      <c r="D416" s="19">
        <f>Inputs_Drivers!C43</f>
        <v/>
      </c>
      <c r="E416" s="19">
        <f>Inputs_Drivers!D43</f>
        <v/>
      </c>
      <c r="F416" s="19">
        <f>Inputs_Drivers!E43</f>
        <v/>
      </c>
      <c r="G416" s="2" t="inlineStr">
        <is>
          <t>static</t>
        </is>
      </c>
      <c r="I416" s="5" t="inlineStr">
        <is>
          <t>People (static)</t>
        </is>
      </c>
      <c r="J416" s="5" t="inlineStr"/>
    </row>
    <row r="417">
      <c r="A417" s="5" t="inlineStr">
        <is>
          <t>inp_sal_rd</t>
        </is>
      </c>
      <c r="B417" s="5" t="inlineStr">
        <is>
          <t>Fully loaded cost per FTE - R&amp;D</t>
        </is>
      </c>
      <c r="C417" s="2" t="inlineStr">
        <is>
          <t>GBP k p.a.</t>
        </is>
      </c>
      <c r="D417" s="15">
        <f>Inputs_Drivers!C44</f>
        <v/>
      </c>
      <c r="E417" s="15">
        <f>Inputs_Drivers!D44</f>
        <v/>
      </c>
      <c r="F417" s="15">
        <f>Inputs_Drivers!E44</f>
        <v/>
      </c>
      <c r="G417" s="2" t="inlineStr">
        <is>
          <t>static</t>
        </is>
      </c>
      <c r="I417" s="5" t="inlineStr">
        <is>
          <t>People (static)</t>
        </is>
      </c>
      <c r="J417" s="5" t="inlineStr">
        <is>
          <t>Salary + employer NI + pension + benefits.</t>
        </is>
      </c>
    </row>
    <row r="418">
      <c r="A418" s="5" t="inlineStr">
        <is>
          <t>inp_sal_sm</t>
        </is>
      </c>
      <c r="B418" s="5" t="inlineStr">
        <is>
          <t>Fully loaded cost per FTE - S&amp;M</t>
        </is>
      </c>
      <c r="C418" s="2" t="inlineStr">
        <is>
          <t>GBP k p.a.</t>
        </is>
      </c>
      <c r="D418" s="15">
        <f>Inputs_Drivers!C45</f>
        <v/>
      </c>
      <c r="E418" s="15">
        <f>Inputs_Drivers!D45</f>
        <v/>
      </c>
      <c r="F418" s="15">
        <f>Inputs_Drivers!E45</f>
        <v/>
      </c>
      <c r="G418" s="2" t="inlineStr">
        <is>
          <t>static</t>
        </is>
      </c>
      <c r="I418" s="5" t="inlineStr">
        <is>
          <t>People (static)</t>
        </is>
      </c>
      <c r="J418" s="5" t="inlineStr">
        <is>
          <t>Excludes commission (modelled separately).</t>
        </is>
      </c>
    </row>
    <row r="419">
      <c r="A419" s="5" t="inlineStr">
        <is>
          <t>inp_sal_ga</t>
        </is>
      </c>
      <c r="B419" s="5" t="inlineStr">
        <is>
          <t>Fully loaded cost per FTE - G&amp;A</t>
        </is>
      </c>
      <c r="C419" s="2" t="inlineStr">
        <is>
          <t>GBP k p.a.</t>
        </is>
      </c>
      <c r="D419" s="15">
        <f>Inputs_Drivers!C46</f>
        <v/>
      </c>
      <c r="E419" s="15">
        <f>Inputs_Drivers!D46</f>
        <v/>
      </c>
      <c r="F419" s="15">
        <f>Inputs_Drivers!E46</f>
        <v/>
      </c>
      <c r="G419" s="2" t="inlineStr">
        <is>
          <t>static</t>
        </is>
      </c>
      <c r="I419" s="5" t="inlineStr">
        <is>
          <t>People (static)</t>
        </is>
      </c>
      <c r="J419" s="5" t="inlineStr"/>
    </row>
    <row r="420">
      <c r="A420" s="5" t="inlineStr">
        <is>
          <t>inp_sal_cs</t>
        </is>
      </c>
      <c r="B420" s="5" t="inlineStr">
        <is>
          <t>Fully loaded cost per FTE - Customer Success</t>
        </is>
      </c>
      <c r="C420" s="2" t="inlineStr">
        <is>
          <t>GBP k p.a.</t>
        </is>
      </c>
      <c r="D420" s="15">
        <f>Inputs_Drivers!C47</f>
        <v/>
      </c>
      <c r="E420" s="15">
        <f>Inputs_Drivers!D47</f>
        <v/>
      </c>
      <c r="F420" s="15">
        <f>Inputs_Drivers!E47</f>
        <v/>
      </c>
      <c r="G420" s="2" t="inlineStr">
        <is>
          <t>static</t>
        </is>
      </c>
      <c r="I420" s="5" t="inlineStr">
        <is>
          <t>People (static)</t>
        </is>
      </c>
      <c r="J420" s="5" t="inlineStr"/>
    </row>
    <row r="421">
      <c r="A421" s="5" t="inlineStr">
        <is>
          <t>inp_merit</t>
        </is>
      </c>
      <c r="B421" s="5" t="inlineStr">
        <is>
          <t>Annual pay rise (applied from month 13)</t>
        </is>
      </c>
      <c r="C421" s="2" t="inlineStr">
        <is>
          <t>% p.a.</t>
        </is>
      </c>
      <c r="D421" s="17">
        <f>Inputs_Drivers!C48</f>
        <v/>
      </c>
      <c r="E421" s="17">
        <f>Inputs_Drivers!D48</f>
        <v/>
      </c>
      <c r="F421" s="17">
        <f>Inputs_Drivers!E48</f>
        <v/>
      </c>
      <c r="G421" s="2" t="inlineStr">
        <is>
          <t>static</t>
        </is>
      </c>
      <c r="I421" s="5" t="inlineStr">
        <is>
          <t>People (static)</t>
        </is>
      </c>
      <c r="J421" s="5" t="inlineStr"/>
    </row>
    <row r="422">
      <c r="A422" s="5" t="inlineStr">
        <is>
          <t>inp_marketing_m</t>
        </is>
      </c>
      <c r="B422" s="5" t="inlineStr">
        <is>
          <t>Marketing programmes</t>
        </is>
      </c>
      <c r="C422" s="2" t="inlineStr">
        <is>
          <t>GBP k/mo</t>
        </is>
      </c>
      <c r="D422" s="19">
        <f>Inputs_Drivers!C50</f>
        <v/>
      </c>
      <c r="E422" s="19">
        <f>Inputs_Drivers!D50</f>
        <v/>
      </c>
      <c r="F422" s="19">
        <f>Inputs_Drivers!E50</f>
        <v/>
      </c>
      <c r="G422" s="2" t="inlineStr">
        <is>
          <t>static</t>
        </is>
      </c>
      <c r="I422" s="5" t="inlineStr">
        <is>
          <t>Costs</t>
        </is>
      </c>
      <c r="J422" s="5" t="inlineStr">
        <is>
          <t>Non-headcount S&amp;M.</t>
        </is>
      </c>
    </row>
    <row r="423">
      <c r="A423" s="5" t="inlineStr">
        <is>
          <t>inp_rd_other_m</t>
        </is>
      </c>
      <c r="B423" s="5" t="inlineStr">
        <is>
          <t>R&amp;D non-headcount (tools, contractors)</t>
        </is>
      </c>
      <c r="C423" s="2" t="inlineStr">
        <is>
          <t>GBP k/mo</t>
        </is>
      </c>
      <c r="D423" s="19">
        <f>Inputs_Drivers!C51</f>
        <v/>
      </c>
      <c r="E423" s="19">
        <f>Inputs_Drivers!D51</f>
        <v/>
      </c>
      <c r="F423" s="19">
        <f>Inputs_Drivers!E51</f>
        <v/>
      </c>
      <c r="G423" s="2" t="inlineStr">
        <is>
          <t>static</t>
        </is>
      </c>
      <c r="I423" s="5" t="inlineStr">
        <is>
          <t>Costs</t>
        </is>
      </c>
      <c r="J423" s="5" t="inlineStr"/>
    </row>
    <row r="424">
      <c r="A424" s="5" t="inlineStr">
        <is>
          <t>inp_ga_other_m</t>
        </is>
      </c>
      <c r="B424" s="5" t="inlineStr">
        <is>
          <t>G&amp;A non-headcount (rent, fees, insurance)</t>
        </is>
      </c>
      <c r="C424" s="2" t="inlineStr">
        <is>
          <t>GBP k/mo</t>
        </is>
      </c>
      <c r="D424" s="19">
        <f>Inputs_Drivers!C52</f>
        <v/>
      </c>
      <c r="E424" s="19">
        <f>Inputs_Drivers!D52</f>
        <v/>
      </c>
      <c r="F424" s="19">
        <f>Inputs_Drivers!E52</f>
        <v/>
      </c>
      <c r="G424" s="2" t="inlineStr">
        <is>
          <t>static</t>
        </is>
      </c>
      <c r="I424" s="5" t="inlineStr">
        <is>
          <t>Costs</t>
        </is>
      </c>
      <c r="J424" s="5" t="inlineStr"/>
    </row>
    <row r="425">
      <c r="A425" s="5" t="inlineStr">
        <is>
          <t>inp_commission_pct</t>
        </is>
      </c>
      <c r="B425" s="5" t="inlineStr">
        <is>
          <t>Sales commission</t>
        </is>
      </c>
      <c r="C425" s="2" t="inlineStr">
        <is>
          <t>% of gross new ARR</t>
        </is>
      </c>
      <c r="D425" s="17">
        <f>Inputs_Drivers!C53</f>
        <v/>
      </c>
      <c r="E425" s="17">
        <f>Inputs_Drivers!D53</f>
        <v/>
      </c>
      <c r="F425" s="17">
        <f>Inputs_Drivers!E53</f>
        <v/>
      </c>
      <c r="G425" s="2" t="inlineStr">
        <is>
          <t>static</t>
        </is>
      </c>
      <c r="I425" s="5" t="inlineStr">
        <is>
          <t>Costs</t>
        </is>
      </c>
      <c r="J425" s="5" t="inlineStr">
        <is>
          <t>Expensed as incurred in the MVP. Phase 2 capitalises it (IFRS 15 costs to obtain a contract).</t>
        </is>
      </c>
    </row>
    <row r="426">
      <c r="A426" s="5" t="inlineStr">
        <is>
          <t>inp_capitalise_commission</t>
        </is>
      </c>
      <c r="B426" s="5" t="inlineStr">
        <is>
          <t>Capitalise sales commission (1 = yes, 0 = expense)</t>
        </is>
      </c>
      <c r="C426" s="2" t="inlineStr">
        <is>
          <t>1/0</t>
        </is>
      </c>
      <c r="D426" s="74">
        <f>Inputs_Drivers!C54</f>
        <v/>
      </c>
      <c r="E426" s="74">
        <f>Inputs_Drivers!D54</f>
        <v/>
      </c>
      <c r="F426" s="74">
        <f>Inputs_Drivers!E54</f>
        <v/>
      </c>
      <c r="G426" s="2" t="inlineStr">
        <is>
          <t>static</t>
        </is>
      </c>
      <c r="I426" s="5" t="inlineStr">
        <is>
          <t>Costs</t>
        </is>
      </c>
      <c r="J426" s="5" t="inlineStr">
        <is>
          <t>IFRS 15 incremental costs of obtaining a contract: capitalised and amortised instead of expensed.</t>
        </is>
      </c>
    </row>
    <row r="427">
      <c r="A427" s="5" t="inlineStr">
        <is>
          <t>inp_cc_life</t>
        </is>
      </c>
      <c r="B427" s="5" t="inlineStr">
        <is>
          <t>Contract-cost amortisation (declining balance on opening asset)</t>
        </is>
      </c>
      <c r="C427" s="2" t="inlineStr">
        <is>
          <t>months</t>
        </is>
      </c>
      <c r="D427" s="19">
        <f>Inputs_Drivers!C55</f>
        <v/>
      </c>
      <c r="E427" s="19">
        <f>Inputs_Drivers!D55</f>
        <v/>
      </c>
      <c r="F427" s="19">
        <f>Inputs_Drivers!E55</f>
        <v/>
      </c>
      <c r="G427" s="2" t="inlineStr">
        <is>
          <t>static</t>
        </is>
      </c>
      <c r="I427" s="5" t="inlineStr">
        <is>
          <t>Costs</t>
        </is>
      </c>
      <c r="J427" s="5" t="inlineStr">
        <is>
          <t>Amortisation = opening asset / this life. Approximates amortising over the expected customer life.</t>
        </is>
      </c>
    </row>
    <row r="428">
      <c r="A428" s="5" t="inlineStr">
        <is>
          <t>inp_open_cca</t>
        </is>
      </c>
      <c r="B428" s="5" t="inlineStr">
        <is>
          <t>Opening capitalised contract costs</t>
        </is>
      </c>
      <c r="C428" s="2" t="inlineStr">
        <is>
          <t>GBP k</t>
        </is>
      </c>
      <c r="D428" s="19">
        <f>Inputs_Drivers!C56</f>
        <v/>
      </c>
      <c r="E428" s="19">
        <f>Inputs_Drivers!D56</f>
        <v/>
      </c>
      <c r="F428" s="19">
        <f>Inputs_Drivers!E56</f>
        <v/>
      </c>
      <c r="G428" s="2" t="inlineStr">
        <is>
          <t>static</t>
        </is>
      </c>
      <c r="I428" s="5" t="inlineStr">
        <is>
          <t>Costs</t>
        </is>
      </c>
      <c r="J428" s="5" t="inlineStr">
        <is>
          <t>Asset balance at the opening date.</t>
        </is>
      </c>
    </row>
    <row r="429">
      <c r="A429" s="5" t="inlineStr">
        <is>
          <t>inp_host_ent</t>
        </is>
      </c>
      <c r="B429" s="5" t="inlineStr">
        <is>
          <t>Hosting cost per Enterprise customer</t>
        </is>
      </c>
      <c r="C429" s="2" t="inlineStr">
        <is>
          <t>GBP k/mo</t>
        </is>
      </c>
      <c r="D429" s="76">
        <f>Inputs_Drivers!C57</f>
        <v/>
      </c>
      <c r="E429" s="76">
        <f>Inputs_Drivers!D57</f>
        <v/>
      </c>
      <c r="F429" s="76">
        <f>Inputs_Drivers!E57</f>
        <v/>
      </c>
      <c r="G429" s="2" t="inlineStr">
        <is>
          <t>static</t>
        </is>
      </c>
      <c r="I429" s="5" t="inlineStr">
        <is>
          <t>Costs</t>
        </is>
      </c>
      <c r="J429" s="5" t="inlineStr"/>
    </row>
    <row r="430">
      <c r="A430" s="5" t="inlineStr">
        <is>
          <t>inp_host_mid</t>
        </is>
      </c>
      <c r="B430" s="5" t="inlineStr">
        <is>
          <t>Hosting cost per Mid-market customer</t>
        </is>
      </c>
      <c r="C430" s="2" t="inlineStr">
        <is>
          <t>GBP k/mo</t>
        </is>
      </c>
      <c r="D430" s="76">
        <f>Inputs_Drivers!C58</f>
        <v/>
      </c>
      <c r="E430" s="76">
        <f>Inputs_Drivers!D58</f>
        <v/>
      </c>
      <c r="F430" s="76">
        <f>Inputs_Drivers!E58</f>
        <v/>
      </c>
      <c r="G430" s="2" t="inlineStr">
        <is>
          <t>static</t>
        </is>
      </c>
      <c r="I430" s="5" t="inlineStr">
        <is>
          <t>Costs</t>
        </is>
      </c>
      <c r="J430" s="5" t="inlineStr"/>
    </row>
    <row r="431">
      <c r="A431" s="5" t="inlineStr">
        <is>
          <t>inp_licence_pct</t>
        </is>
      </c>
      <c r="B431" s="5" t="inlineStr">
        <is>
          <t>Third-party licences</t>
        </is>
      </c>
      <c r="C431" s="2" t="inlineStr">
        <is>
          <t>% of subscription revenue</t>
        </is>
      </c>
      <c r="D431" s="17">
        <f>Inputs_Drivers!C59</f>
        <v/>
      </c>
      <c r="E431" s="17">
        <f>Inputs_Drivers!D59</f>
        <v/>
      </c>
      <c r="F431" s="17">
        <f>Inputs_Drivers!E59</f>
        <v/>
      </c>
      <c r="G431" s="2" t="inlineStr">
        <is>
          <t>static</t>
        </is>
      </c>
      <c r="I431" s="5" t="inlineStr">
        <is>
          <t>Costs</t>
        </is>
      </c>
      <c r="J431" s="5" t="inlineStr"/>
    </row>
    <row r="432">
      <c r="A432" s="5" t="inlineStr">
        <is>
          <t>inp_impl_fee_pct</t>
        </is>
      </c>
      <c r="B432" s="5" t="inlineStr">
        <is>
          <t>Implementation fee</t>
        </is>
      </c>
      <c r="C432" s="2" t="inlineStr">
        <is>
          <t>% of new Enterprise ACV</t>
        </is>
      </c>
      <c r="D432" s="17">
        <f>Inputs_Drivers!C60</f>
        <v/>
      </c>
      <c r="E432" s="17">
        <f>Inputs_Drivers!D60</f>
        <v/>
      </c>
      <c r="F432" s="17">
        <f>Inputs_Drivers!E60</f>
        <v/>
      </c>
      <c r="G432" s="2" t="inlineStr">
        <is>
          <t>static</t>
        </is>
      </c>
      <c r="I432" s="5" t="inlineStr">
        <is>
          <t>Costs</t>
        </is>
      </c>
      <c r="J432" s="5" t="inlineStr">
        <is>
          <t>Separate performance obligation, billed at signing, recognised over 3 months.</t>
        </is>
      </c>
    </row>
    <row r="433">
      <c r="A433" s="5" t="inlineStr">
        <is>
          <t>inp_services_cost_pct</t>
        </is>
      </c>
      <c r="B433" s="5" t="inlineStr">
        <is>
          <t>Cost of delivering implementation</t>
        </is>
      </c>
      <c r="C433" s="2" t="inlineStr">
        <is>
          <t>% of implementation revenue</t>
        </is>
      </c>
      <c r="D433" s="17">
        <f>Inputs_Drivers!C61</f>
        <v/>
      </c>
      <c r="E433" s="17">
        <f>Inputs_Drivers!D61</f>
        <v/>
      </c>
      <c r="F433" s="17">
        <f>Inputs_Drivers!E61</f>
        <v/>
      </c>
      <c r="G433" s="2" t="inlineStr">
        <is>
          <t>static</t>
        </is>
      </c>
      <c r="I433" s="5" t="inlineStr">
        <is>
          <t>Costs</t>
        </is>
      </c>
      <c r="J433" s="5" t="inlineStr"/>
    </row>
    <row r="434">
      <c r="A434" s="5" t="inlineStr">
        <is>
          <t>inp_v_logos</t>
        </is>
      </c>
      <c r="B434" s="5" t="inlineStr">
        <is>
          <t>Vaultline new logos per month</t>
        </is>
      </c>
      <c r="C434" s="2" t="inlineStr">
        <is>
          <t>#/mo</t>
        </is>
      </c>
      <c r="D434" s="15">
        <f>Inputs_Drivers!C63</f>
        <v/>
      </c>
      <c r="E434" s="15">
        <f>Inputs_Drivers!D63</f>
        <v/>
      </c>
      <c r="F434" s="15">
        <f>Inputs_Drivers!E63</f>
        <v/>
      </c>
      <c r="G434" s="2" t="inlineStr">
        <is>
          <t>scenario</t>
        </is>
      </c>
      <c r="H434" s="26">
        <f>ROW(Inputs_Scenarios!$A$26)</f>
        <v/>
      </c>
      <c r="I434" s="5" t="inlineStr">
        <is>
          <t>Acquisition: Vaultline scenario drivers</t>
        </is>
      </c>
      <c r="J434" s="5" t="inlineStr">
        <is>
          <t>Vaultline's own growth engine, standalone.</t>
        </is>
      </c>
    </row>
    <row r="435">
      <c r="A435" s="5" t="inlineStr">
        <is>
          <t>inp_v_exp</t>
        </is>
      </c>
      <c r="B435" s="5" t="inlineStr">
        <is>
          <t>Vaultline annual expansion</t>
        </is>
      </c>
      <c r="C435" s="2" t="inlineStr">
        <is>
          <t>% of ARR</t>
        </is>
      </c>
      <c r="D435" s="17">
        <f>Inputs_Drivers!C64</f>
        <v/>
      </c>
      <c r="E435" s="17">
        <f>Inputs_Drivers!D64</f>
        <v/>
      </c>
      <c r="F435" s="17">
        <f>Inputs_Drivers!E64</f>
        <v/>
      </c>
      <c r="G435" s="2" t="inlineStr">
        <is>
          <t>scenario</t>
        </is>
      </c>
      <c r="H435" s="26">
        <f>ROW(Inputs_Scenarios!$A$27)</f>
        <v/>
      </c>
      <c r="I435" s="5" t="inlineStr">
        <is>
          <t>Acquisition: Vaultline scenario drivers</t>
        </is>
      </c>
      <c r="J435" s="5" t="inlineStr"/>
    </row>
    <row r="436">
      <c r="A436" s="5" t="inlineStr">
        <is>
          <t>inp_v_churn</t>
        </is>
      </c>
      <c r="B436" s="5" t="inlineStr">
        <is>
          <t>Vaultline annual gross churn</t>
        </is>
      </c>
      <c r="C436" s="2" t="inlineStr">
        <is>
          <t>% of ARR</t>
        </is>
      </c>
      <c r="D436" s="17">
        <f>Inputs_Drivers!C65</f>
        <v/>
      </c>
      <c r="E436" s="17">
        <f>Inputs_Drivers!D65</f>
        <v/>
      </c>
      <c r="F436" s="17">
        <f>Inputs_Drivers!E65</f>
        <v/>
      </c>
      <c r="G436" s="2" t="inlineStr">
        <is>
          <t>scenario</t>
        </is>
      </c>
      <c r="H436" s="26">
        <f>ROW(Inputs_Scenarios!$A$28)</f>
        <v/>
      </c>
      <c r="I436" s="5" t="inlineStr">
        <is>
          <t>Acquisition: Vaultline scenario drivers</t>
        </is>
      </c>
      <c r="J436" s="5" t="inlineStr">
        <is>
          <t>Integration risk: customers leave after a change of control.</t>
        </is>
      </c>
    </row>
    <row r="437">
      <c r="A437" s="5" t="inlineStr">
        <is>
          <t>inp_ma_syn_achieved</t>
        </is>
      </c>
      <c r="B437" s="5" t="inlineStr">
        <is>
          <t>Synergies achieved</t>
        </is>
      </c>
      <c r="C437" s="2" t="inlineStr">
        <is>
          <t>% of plan</t>
        </is>
      </c>
      <c r="D437" s="17">
        <f>Inputs_Drivers!C66</f>
        <v/>
      </c>
      <c r="E437" s="17">
        <f>Inputs_Drivers!D66</f>
        <v/>
      </c>
      <c r="F437" s="17">
        <f>Inputs_Drivers!E66</f>
        <v/>
      </c>
      <c r="G437" s="2" t="inlineStr">
        <is>
          <t>scenario</t>
        </is>
      </c>
      <c r="H437" s="26">
        <f>ROW(Inputs_Scenarios!$A$29)</f>
        <v/>
      </c>
      <c r="I437" s="5" t="inlineStr">
        <is>
          <t>Acquisition: Vaultline scenario drivers</t>
        </is>
      </c>
      <c r="J437" s="5" t="inlineStr">
        <is>
          <t>Scales both revenue (cross-sell) and cost synergies. Integration costs are not scaled.</t>
        </is>
      </c>
    </row>
    <row r="438">
      <c r="A438" s="5" t="inlineStr">
        <is>
          <t>inp_ma_include</t>
        </is>
      </c>
      <c r="B438" s="5" t="inlineStr">
        <is>
          <t>Include acquisition in the pro-forma (1 = yes, 0 = no)</t>
        </is>
      </c>
      <c r="C438" s="2" t="inlineStr">
        <is>
          <t>1/0</t>
        </is>
      </c>
      <c r="D438" s="74">
        <f>Inputs_Drivers!C68</f>
        <v/>
      </c>
      <c r="E438" s="74">
        <f>Inputs_Drivers!D68</f>
        <v/>
      </c>
      <c r="F438" s="74">
        <f>Inputs_Drivers!E68</f>
        <v/>
      </c>
      <c r="G438" s="2" t="inlineStr">
        <is>
          <t>static</t>
        </is>
      </c>
      <c r="I438" s="5" t="inlineStr">
        <is>
          <t>Acquisition: deal terms</t>
        </is>
      </c>
      <c r="J438" s="5" t="inlineStr">
        <is>
          <t>0 makes MA_ProForma equal Northgate standalone.</t>
        </is>
      </c>
    </row>
    <row r="439">
      <c r="A439" s="5" t="inlineStr">
        <is>
          <t>inp_ma_offer_mult</t>
        </is>
      </c>
      <c r="B439" s="5" t="inlineStr">
        <is>
          <t>Offer: enterprise value / Vaultline opening ARR</t>
        </is>
      </c>
      <c r="C439" s="2" t="inlineStr">
        <is>
          <t>x ARR</t>
        </is>
      </c>
      <c r="D439" s="15">
        <f>Inputs_Drivers!C69</f>
        <v/>
      </c>
      <c r="E439" s="15">
        <f>Inputs_Drivers!D69</f>
        <v/>
      </c>
      <c r="F439" s="15">
        <f>Inputs_Drivers!E69</f>
        <v/>
      </c>
      <c r="G439" s="2" t="inlineStr">
        <is>
          <t>static</t>
        </is>
      </c>
      <c r="I439" s="5" t="inlineStr">
        <is>
          <t>Acquisition: deal terms</t>
        </is>
      </c>
      <c r="J439" s="5" t="inlineStr">
        <is>
          <t>Sets the offer price (EV). Equity price = EV + cash acquired (Vaultline has no debt).</t>
        </is>
      </c>
    </row>
    <row r="440">
      <c r="A440" s="5" t="inlineStr">
        <is>
          <t>inp_ma_debt</t>
        </is>
      </c>
      <c r="B440" s="5" t="inlineStr">
        <is>
          <t>Acquisition term loan</t>
        </is>
      </c>
      <c r="C440" s="2" t="inlineStr">
        <is>
          <t>GBP k</t>
        </is>
      </c>
      <c r="D440" s="19">
        <f>Inputs_Drivers!C70</f>
        <v/>
      </c>
      <c r="E440" s="19">
        <f>Inputs_Drivers!D70</f>
        <v/>
      </c>
      <c r="F440" s="19">
        <f>Inputs_Drivers!E70</f>
        <v/>
      </c>
      <c r="G440" s="2" t="inlineStr">
        <is>
          <t>static</t>
        </is>
      </c>
      <c r="I440" s="5" t="inlineStr">
        <is>
          <t>Acquisition: deal terms</t>
        </is>
      </c>
      <c r="J440" s="5" t="inlineStr">
        <is>
          <t>Bullet loan; balance of the equity price is paid from Northgate cash.</t>
        </is>
      </c>
    </row>
    <row r="441">
      <c r="A441" s="5" t="inlineStr">
        <is>
          <t>inp_ma_loan_rate</t>
        </is>
      </c>
      <c r="B441" s="5" t="inlineStr">
        <is>
          <t>Acquisition loan interest rate</t>
        </is>
      </c>
      <c r="C441" s="2" t="inlineStr">
        <is>
          <t>% p.a.</t>
        </is>
      </c>
      <c r="D441" s="17">
        <f>Inputs_Drivers!C71</f>
        <v/>
      </c>
      <c r="E441" s="17">
        <f>Inputs_Drivers!D71</f>
        <v/>
      </c>
      <c r="F441" s="17">
        <f>Inputs_Drivers!E71</f>
        <v/>
      </c>
      <c r="G441" s="2" t="inlineStr">
        <is>
          <t>static</t>
        </is>
      </c>
      <c r="I441" s="5" t="inlineStr">
        <is>
          <t>Acquisition: deal terms</t>
        </is>
      </c>
      <c r="J441" s="5" t="inlineStr">
        <is>
          <t>Charged on the prior-period balance.</t>
        </is>
      </c>
    </row>
    <row r="442">
      <c r="A442" s="5" t="inlineStr">
        <is>
          <t>inp_ma_deal_cost_pct</t>
        </is>
      </c>
      <c r="B442" s="5" t="inlineStr">
        <is>
          <t>Transaction costs</t>
        </is>
      </c>
      <c r="C442" s="2" t="inlineStr">
        <is>
          <t>% of EV</t>
        </is>
      </c>
      <c r="D442" s="17">
        <f>Inputs_Drivers!C72</f>
        <v/>
      </c>
      <c r="E442" s="17">
        <f>Inputs_Drivers!D72</f>
        <v/>
      </c>
      <c r="F442" s="17">
        <f>Inputs_Drivers!E72</f>
        <v/>
      </c>
      <c r="G442" s="2" t="inlineStr">
        <is>
          <t>static</t>
        </is>
      </c>
      <c r="I442" s="5" t="inlineStr">
        <is>
          <t>Acquisition: deal terms</t>
        </is>
      </c>
      <c r="J442" s="5" t="inlineStr">
        <is>
          <t>Expensed in month 1 (IFRS 3.53).</t>
        </is>
      </c>
    </row>
    <row r="443">
      <c r="A443" s="5" t="inlineStr">
        <is>
          <t>inp_ma_integration_total</t>
        </is>
      </c>
      <c r="B443" s="5" t="inlineStr">
        <is>
          <t>Integration costs, total</t>
        </is>
      </c>
      <c r="C443" s="2" t="inlineStr">
        <is>
          <t>GBP k</t>
        </is>
      </c>
      <c r="D443" s="19">
        <f>Inputs_Drivers!C73</f>
        <v/>
      </c>
      <c r="E443" s="19">
        <f>Inputs_Drivers!D73</f>
        <v/>
      </c>
      <c r="F443" s="19">
        <f>Inputs_Drivers!E73</f>
        <v/>
      </c>
      <c r="G443" s="2" t="inlineStr">
        <is>
          <t>static</t>
        </is>
      </c>
      <c r="I443" s="5" t="inlineStr">
        <is>
          <t>Acquisition: deal terms</t>
        </is>
      </c>
      <c r="J443" s="5" t="inlineStr">
        <is>
          <t>One-off, spread evenly.</t>
        </is>
      </c>
    </row>
    <row r="444">
      <c r="A444" s="5" t="inlineStr">
        <is>
          <t>inp_ma_integration_months</t>
        </is>
      </c>
      <c r="B444" s="5" t="inlineStr">
        <is>
          <t>Integration period</t>
        </is>
      </c>
      <c r="C444" s="2" t="inlineStr">
        <is>
          <t>months</t>
        </is>
      </c>
      <c r="D444" s="19">
        <f>Inputs_Drivers!C74</f>
        <v/>
      </c>
      <c r="E444" s="19">
        <f>Inputs_Drivers!D74</f>
        <v/>
      </c>
      <c r="F444" s="19">
        <f>Inputs_Drivers!E74</f>
        <v/>
      </c>
      <c r="G444" s="2" t="inlineStr">
        <is>
          <t>static</t>
        </is>
      </c>
      <c r="I444" s="5" t="inlineStr">
        <is>
          <t>Acquisition: deal terms</t>
        </is>
      </c>
      <c r="J444" s="5" t="inlineStr">
        <is>
          <t>Costs spread evenly over this many months from month 1.</t>
        </is>
      </c>
    </row>
    <row r="445">
      <c r="A445" s="5" t="inlineStr">
        <is>
          <t>inp_ma_xsell_logos_m</t>
        </is>
      </c>
      <c r="B445" s="5" t="inlineStr">
        <is>
          <t>Cross-sell: Vaultline product sold to Northgate customers per month (at full ramp)</t>
        </is>
      </c>
      <c r="C445" s="2" t="inlineStr">
        <is>
          <t>#/mo</t>
        </is>
      </c>
      <c r="D445" s="15">
        <f>Inputs_Drivers!C75</f>
        <v/>
      </c>
      <c r="E445" s="15">
        <f>Inputs_Drivers!D75</f>
        <v/>
      </c>
      <c r="F445" s="15">
        <f>Inputs_Drivers!E75</f>
        <v/>
      </c>
      <c r="G445" s="2" t="inlineStr">
        <is>
          <t>static</t>
        </is>
      </c>
      <c r="I445" s="5" t="inlineStr">
        <is>
          <t>Acquisition: deal terms</t>
        </is>
      </c>
      <c r="J445" s="5" t="inlineStr">
        <is>
          <t>Revenue synergy volume.</t>
        </is>
      </c>
    </row>
    <row r="446">
      <c r="A446" s="5" t="inlineStr">
        <is>
          <t>inp_ma_xsell_acv</t>
        </is>
      </c>
      <c r="B446" s="5" t="inlineStr">
        <is>
          <t>Cross-sell ACV</t>
        </is>
      </c>
      <c r="C446" s="2" t="inlineStr">
        <is>
          <t>GBP k</t>
        </is>
      </c>
      <c r="D446" s="15">
        <f>Inputs_Drivers!C76</f>
        <v/>
      </c>
      <c r="E446" s="15">
        <f>Inputs_Drivers!D76</f>
        <v/>
      </c>
      <c r="F446" s="15">
        <f>Inputs_Drivers!E76</f>
        <v/>
      </c>
      <c r="G446" s="2" t="inlineStr">
        <is>
          <t>static</t>
        </is>
      </c>
      <c r="I446" s="5" t="inlineStr">
        <is>
          <t>Acquisition: deal terms</t>
        </is>
      </c>
      <c r="J446" s="5" t="inlineStr"/>
    </row>
    <row r="447">
      <c r="A447" s="5" t="inlineStr">
        <is>
          <t>inp_ma_syn_start</t>
        </is>
      </c>
      <c r="B447" s="5" t="inlineStr">
        <is>
          <t>Synergies start in month</t>
        </is>
      </c>
      <c r="C447" s="2" t="inlineStr">
        <is>
          <t>month</t>
        </is>
      </c>
      <c r="D447" s="19">
        <f>Inputs_Drivers!C77</f>
        <v/>
      </c>
      <c r="E447" s="19">
        <f>Inputs_Drivers!D77</f>
        <v/>
      </c>
      <c r="F447" s="19">
        <f>Inputs_Drivers!E77</f>
        <v/>
      </c>
      <c r="G447" s="2" t="inlineStr">
        <is>
          <t>static</t>
        </is>
      </c>
      <c r="I447" s="5" t="inlineStr">
        <is>
          <t>Acquisition: deal terms</t>
        </is>
      </c>
      <c r="J447" s="5" t="inlineStr"/>
    </row>
    <row r="448">
      <c r="A448" s="5" t="inlineStr">
        <is>
          <t>inp_ma_syn_ramp</t>
        </is>
      </c>
      <c r="B448" s="5" t="inlineStr">
        <is>
          <t>Synergy ramp-up</t>
        </is>
      </c>
      <c r="C448" s="2" t="inlineStr">
        <is>
          <t>months</t>
        </is>
      </c>
      <c r="D448" s="19">
        <f>Inputs_Drivers!C78</f>
        <v/>
      </c>
      <c r="E448" s="19">
        <f>Inputs_Drivers!D78</f>
        <v/>
      </c>
      <c r="F448" s="19">
        <f>Inputs_Drivers!E78</f>
        <v/>
      </c>
      <c r="G448" s="2" t="inlineStr">
        <is>
          <t>static</t>
        </is>
      </c>
      <c r="I448" s="5" t="inlineStr">
        <is>
          <t>Acquisition: deal terms</t>
        </is>
      </c>
      <c r="J448" s="5" t="inlineStr">
        <is>
          <t>Linear ramp from start to 100%.</t>
        </is>
      </c>
    </row>
    <row r="449">
      <c r="A449" s="5" t="inlineStr">
        <is>
          <t>inp_ma_syn_margin</t>
        </is>
      </c>
      <c r="B449" s="5" t="inlineStr">
        <is>
          <t>Contribution margin on cross-sell revenue</t>
        </is>
      </c>
      <c r="C449" s="2" t="inlineStr">
        <is>
          <t>%</t>
        </is>
      </c>
      <c r="D449" s="17">
        <f>Inputs_Drivers!C79</f>
        <v/>
      </c>
      <c r="E449" s="17">
        <f>Inputs_Drivers!D79</f>
        <v/>
      </c>
      <c r="F449" s="17">
        <f>Inputs_Drivers!E79</f>
        <v/>
      </c>
      <c r="G449" s="2" t="inlineStr">
        <is>
          <t>static</t>
        </is>
      </c>
      <c r="I449" s="5" t="inlineStr">
        <is>
          <t>Acquisition: deal terms</t>
        </is>
      </c>
      <c r="J449" s="5" t="inlineStr">
        <is>
          <t>Revenue synergies are not free: they carry delivery and selling cost.</t>
        </is>
      </c>
    </row>
    <row r="450">
      <c r="A450" s="5" t="inlineStr">
        <is>
          <t>inp_ma_cost_syn</t>
        </is>
      </c>
      <c r="B450" s="5" t="inlineStr">
        <is>
          <t>Cost synergies, annual run-rate</t>
        </is>
      </c>
      <c r="C450" s="2" t="inlineStr">
        <is>
          <t>GBP k p.a.</t>
        </is>
      </c>
      <c r="D450" s="19">
        <f>Inputs_Drivers!C80</f>
        <v/>
      </c>
      <c r="E450" s="19">
        <f>Inputs_Drivers!D80</f>
        <v/>
      </c>
      <c r="F450" s="19">
        <f>Inputs_Drivers!E80</f>
        <v/>
      </c>
      <c r="G450" s="2" t="inlineStr">
        <is>
          <t>static</t>
        </is>
      </c>
      <c r="I450" s="5" t="inlineStr">
        <is>
          <t>Acquisition: deal terms</t>
        </is>
      </c>
      <c r="J450" s="5" t="inlineStr">
        <is>
          <t>Duplicate G&amp;A and hosting.</t>
        </is>
      </c>
    </row>
    <row r="451">
      <c r="A451" s="5" t="inlineStr">
        <is>
          <t>inp_ma_ic_annual</t>
        </is>
      </c>
      <c r="B451" s="5" t="inlineStr">
        <is>
          <t>Intercompany contract: Northgate software sold to Vaultline</t>
        </is>
      </c>
      <c r="C451" s="2" t="inlineStr">
        <is>
          <t>GBP k p.a.</t>
        </is>
      </c>
      <c r="D451" s="19">
        <f>Inputs_Drivers!C81</f>
        <v/>
      </c>
      <c r="E451" s="19">
        <f>Inputs_Drivers!D81</f>
        <v/>
      </c>
      <c r="F451" s="19">
        <f>Inputs_Drivers!E81</f>
        <v/>
      </c>
      <c r="G451" s="2" t="inlineStr">
        <is>
          <t>static</t>
        </is>
      </c>
      <c r="I451" s="5" t="inlineStr">
        <is>
          <t>Acquisition: deal terms</t>
        </is>
      </c>
      <c r="J451" s="5" t="inlineStr">
        <is>
          <t>Eliminated on consolidation (revenue and cost).</t>
        </is>
      </c>
    </row>
    <row r="452">
      <c r="A452" s="5" t="inlineStr">
        <is>
          <t>inp_ma_dr_haircut</t>
        </is>
      </c>
      <c r="B452" s="5" t="inlineStr">
        <is>
          <t>Deferred revenue fair-value haircut</t>
        </is>
      </c>
      <c r="C452" s="2" t="inlineStr">
        <is>
          <t>% of book</t>
        </is>
      </c>
      <c r="D452" s="17">
        <f>Inputs_Drivers!C83</f>
        <v/>
      </c>
      <c r="E452" s="17">
        <f>Inputs_Drivers!D83</f>
        <v/>
      </c>
      <c r="F452" s="17">
        <f>Inputs_Drivers!E83</f>
        <v/>
      </c>
      <c r="G452" s="2" t="inlineStr">
        <is>
          <t>static</t>
        </is>
      </c>
      <c r="I452" s="5" t="inlineStr">
        <is>
          <t>Acquisition: purchase price allocation (IFRS 3)</t>
        </is>
      </c>
      <c r="J452" s="5" t="inlineStr">
        <is>
          <t>IFRS 3 measures acquired deferred revenue at fair value; US GAAP (ASU 2021-08) carries it over at book.</t>
        </is>
      </c>
    </row>
    <row r="453">
      <c r="A453" s="5" t="inlineStr">
        <is>
          <t>inp_ma_cr_pct</t>
        </is>
      </c>
      <c r="B453" s="5" t="inlineStr">
        <is>
          <t>Customer relationships</t>
        </is>
      </c>
      <c r="C453" s="2" t="inlineStr">
        <is>
          <t>% of EV</t>
        </is>
      </c>
      <c r="D453" s="17">
        <f>Inputs_Drivers!C84</f>
        <v/>
      </c>
      <c r="E453" s="17">
        <f>Inputs_Drivers!D84</f>
        <v/>
      </c>
      <c r="F453" s="17">
        <f>Inputs_Drivers!E84</f>
        <v/>
      </c>
      <c r="G453" s="2" t="inlineStr">
        <is>
          <t>static</t>
        </is>
      </c>
      <c r="I453" s="5" t="inlineStr">
        <is>
          <t>Acquisition: purchase price allocation (IFRS 3)</t>
        </is>
      </c>
      <c r="J453" s="5" t="inlineStr">
        <is>
          <t>Illustrative; in practice from a valuation specialist (multi-period excess earnings).</t>
        </is>
      </c>
    </row>
    <row r="454">
      <c r="A454" s="5" t="inlineStr">
        <is>
          <t>inp_ma_tech_pct</t>
        </is>
      </c>
      <c r="B454" s="5" t="inlineStr">
        <is>
          <t>Acquired technology</t>
        </is>
      </c>
      <c r="C454" s="2" t="inlineStr">
        <is>
          <t>% of EV</t>
        </is>
      </c>
      <c r="D454" s="17">
        <f>Inputs_Drivers!C85</f>
        <v/>
      </c>
      <c r="E454" s="17">
        <f>Inputs_Drivers!D85</f>
        <v/>
      </c>
      <c r="F454" s="17">
        <f>Inputs_Drivers!E85</f>
        <v/>
      </c>
      <c r="G454" s="2" t="inlineStr">
        <is>
          <t>static</t>
        </is>
      </c>
      <c r="I454" s="5" t="inlineStr">
        <is>
          <t>Acquisition: purchase price allocation (IFRS 3)</t>
        </is>
      </c>
      <c r="J454" s="5" t="inlineStr">
        <is>
          <t>Illustrative (relief from royalty).</t>
        </is>
      </c>
    </row>
    <row r="455">
      <c r="A455" s="5" t="inlineStr">
        <is>
          <t>inp_ma_cr_life</t>
        </is>
      </c>
      <c r="B455" s="5" t="inlineStr">
        <is>
          <t>Customer relationships: useful life</t>
        </is>
      </c>
      <c r="C455" s="2" t="inlineStr">
        <is>
          <t>months</t>
        </is>
      </c>
      <c r="D455" s="19">
        <f>Inputs_Drivers!C86</f>
        <v/>
      </c>
      <c r="E455" s="19">
        <f>Inputs_Drivers!D86</f>
        <v/>
      </c>
      <c r="F455" s="19">
        <f>Inputs_Drivers!E86</f>
        <v/>
      </c>
      <c r="G455" s="2" t="inlineStr">
        <is>
          <t>static</t>
        </is>
      </c>
      <c r="I455" s="5" t="inlineStr">
        <is>
          <t>Acquisition: purchase price allocation (IFRS 3)</t>
        </is>
      </c>
      <c r="J455" s="5" t="inlineStr"/>
    </row>
    <row r="456">
      <c r="A456" s="5" t="inlineStr">
        <is>
          <t>inp_ma_tech_life</t>
        </is>
      </c>
      <c r="B456" s="5" t="inlineStr">
        <is>
          <t>Technology: useful life</t>
        </is>
      </c>
      <c r="C456" s="2" t="inlineStr">
        <is>
          <t>months</t>
        </is>
      </c>
      <c r="D456" s="19">
        <f>Inputs_Drivers!C87</f>
        <v/>
      </c>
      <c r="E456" s="19">
        <f>Inputs_Drivers!D87</f>
        <v/>
      </c>
      <c r="F456" s="19">
        <f>Inputs_Drivers!E87</f>
        <v/>
      </c>
      <c r="G456" s="2" t="inlineStr">
        <is>
          <t>static</t>
        </is>
      </c>
      <c r="I456" s="5" t="inlineStr">
        <is>
          <t>Acquisition: purchase price allocation (IFRS 3)</t>
        </is>
      </c>
      <c r="J456" s="5" t="inlineStr"/>
    </row>
    <row r="457">
      <c r="A457" s="5" t="inlineStr">
        <is>
          <t>inp_ma_wacc</t>
        </is>
      </c>
      <c r="B457" s="5" t="inlineStr">
        <is>
          <t>Discount rate (WACC)</t>
        </is>
      </c>
      <c r="C457" s="2" t="inlineStr">
        <is>
          <t>%</t>
        </is>
      </c>
      <c r="D457" s="17">
        <f>Inputs_Drivers!C89</f>
        <v/>
      </c>
      <c r="E457" s="17">
        <f>Inputs_Drivers!D89</f>
        <v/>
      </c>
      <c r="F457" s="17">
        <f>Inputs_Drivers!E89</f>
        <v/>
      </c>
      <c r="G457" s="2" t="inlineStr">
        <is>
          <t>static</t>
        </is>
      </c>
      <c r="I457" s="5" t="inlineStr">
        <is>
          <t>Acquisition: valuation</t>
        </is>
      </c>
      <c r="J457" s="5" t="inlineStr">
        <is>
          <t>Applied to Vaultline cash flows and synergies.</t>
        </is>
      </c>
    </row>
    <row r="458">
      <c r="A458" s="5" t="inlineStr">
        <is>
          <t>inp_ma_tg</t>
        </is>
      </c>
      <c r="B458" s="5" t="inlineStr">
        <is>
          <t>Terminal growth</t>
        </is>
      </c>
      <c r="C458" s="2" t="inlineStr">
        <is>
          <t>%</t>
        </is>
      </c>
      <c r="D458" s="17">
        <f>Inputs_Drivers!C90</f>
        <v/>
      </c>
      <c r="E458" s="17">
        <f>Inputs_Drivers!D90</f>
        <v/>
      </c>
      <c r="F458" s="17">
        <f>Inputs_Drivers!E90</f>
        <v/>
      </c>
      <c r="G458" s="2" t="inlineStr">
        <is>
          <t>static</t>
        </is>
      </c>
      <c r="I458" s="5" t="inlineStr">
        <is>
          <t>Acquisition: valuation</t>
        </is>
      </c>
      <c r="J458" s="5" t="inlineStr">
        <is>
          <t>Must be below WACC.</t>
        </is>
      </c>
    </row>
    <row r="459">
      <c r="A459" s="5" t="inlineStr">
        <is>
          <t>inp_ma_wacc_band</t>
        </is>
      </c>
      <c r="B459" s="5" t="inlineStr">
        <is>
          <t>DCF sensitivity band on WACC (low / high cases)</t>
        </is>
      </c>
      <c r="C459" s="2" t="inlineStr">
        <is>
          <t>pts</t>
        </is>
      </c>
      <c r="D459" s="17">
        <f>Inputs_Drivers!C91</f>
        <v/>
      </c>
      <c r="E459" s="17">
        <f>Inputs_Drivers!D91</f>
        <v/>
      </c>
      <c r="F459" s="17">
        <f>Inputs_Drivers!E91</f>
        <v/>
      </c>
      <c r="G459" s="2" t="inlineStr">
        <is>
          <t>static</t>
        </is>
      </c>
      <c r="I459" s="5" t="inlineStr">
        <is>
          <t>Acquisition: valuation</t>
        </is>
      </c>
      <c r="J459" s="5" t="inlineStr">
        <is>
          <t>Low case = WACC + band; high case = WACC - band.</t>
        </is>
      </c>
    </row>
    <row r="460">
      <c r="A460" s="5" t="inlineStr">
        <is>
          <t>inp_ma_tg_band</t>
        </is>
      </c>
      <c r="B460" s="5" t="inlineStr">
        <is>
          <t>DCF sensitivity band on terminal growth</t>
        </is>
      </c>
      <c r="C460" s="2" t="inlineStr">
        <is>
          <t>pts</t>
        </is>
      </c>
      <c r="D460" s="17">
        <f>Inputs_Drivers!C92</f>
        <v/>
      </c>
      <c r="E460" s="17">
        <f>Inputs_Drivers!D92</f>
        <v/>
      </c>
      <c r="F460" s="17">
        <f>Inputs_Drivers!E92</f>
        <v/>
      </c>
      <c r="G460" s="2" t="inlineStr">
        <is>
          <t>static</t>
        </is>
      </c>
      <c r="I460" s="5" t="inlineStr">
        <is>
          <t>Acquisition: valuation</t>
        </is>
      </c>
      <c r="J460" s="5" t="inlineStr">
        <is>
          <t>Low case = growth - band; high case = growth + band.</t>
        </is>
      </c>
    </row>
    <row r="461">
      <c r="A461" s="5" t="inlineStr">
        <is>
          <t>inp_ma_fade</t>
        </is>
      </c>
      <c r="B461" s="5" t="inlineStr">
        <is>
          <t>Vaultline ARR growth fade, years 3-5</t>
        </is>
      </c>
      <c r="C461" s="2" t="inlineStr">
        <is>
          <t>pts p.a.</t>
        </is>
      </c>
      <c r="D461" s="17">
        <f>Inputs_Drivers!C93</f>
        <v/>
      </c>
      <c r="E461" s="17">
        <f>Inputs_Drivers!D93</f>
        <v/>
      </c>
      <c r="F461" s="17">
        <f>Inputs_Drivers!E93</f>
        <v/>
      </c>
      <c r="G461" s="2" t="inlineStr">
        <is>
          <t>static</t>
        </is>
      </c>
      <c r="I461" s="5" t="inlineStr">
        <is>
          <t>Acquisition: valuation</t>
        </is>
      </c>
      <c r="J461" s="5" t="inlineStr">
        <is>
          <t>Growth falls by this much each year after year 2.</t>
        </is>
      </c>
    </row>
    <row r="462">
      <c r="A462" s="5" t="inlineStr">
        <is>
          <t>inp_v_arr_open</t>
        </is>
      </c>
      <c r="B462" s="5" t="inlineStr">
        <is>
          <t>Vaultline opening ARR</t>
        </is>
      </c>
      <c r="C462" s="2" t="inlineStr">
        <is>
          <t>GBP k</t>
        </is>
      </c>
      <c r="D462" s="19">
        <f>Inputs_Drivers!C95</f>
        <v/>
      </c>
      <c r="E462" s="19">
        <f>Inputs_Drivers!D95</f>
        <v/>
      </c>
      <c r="F462" s="19">
        <f>Inputs_Drivers!E95</f>
        <v/>
      </c>
      <c r="G462" s="2" t="inlineStr">
        <is>
          <t>static</t>
        </is>
      </c>
      <c r="I462" s="5" t="inlineStr">
        <is>
          <t>Acquisition: Vaultline standalone (opening position and cost structure)</t>
        </is>
      </c>
      <c r="J462" s="5" t="inlineStr"/>
    </row>
    <row r="463">
      <c r="A463" s="5" t="inlineStr">
        <is>
          <t>inp_v_cust_open</t>
        </is>
      </c>
      <c r="B463" s="5" t="inlineStr">
        <is>
          <t>Vaultline opening customers</t>
        </is>
      </c>
      <c r="C463" s="2" t="inlineStr">
        <is>
          <t>#</t>
        </is>
      </c>
      <c r="D463" s="19">
        <f>Inputs_Drivers!C96</f>
        <v/>
      </c>
      <c r="E463" s="19">
        <f>Inputs_Drivers!D96</f>
        <v/>
      </c>
      <c r="F463" s="19">
        <f>Inputs_Drivers!E96</f>
        <v/>
      </c>
      <c r="G463" s="2" t="inlineStr">
        <is>
          <t>static</t>
        </is>
      </c>
      <c r="I463" s="5" t="inlineStr">
        <is>
          <t>Acquisition: Vaultline standalone (opening position and cost structure)</t>
        </is>
      </c>
      <c r="J463" s="5" t="inlineStr"/>
    </row>
    <row r="464">
      <c r="A464" s="5" t="inlineStr">
        <is>
          <t>inp_v_acv</t>
        </is>
      </c>
      <c r="B464" s="5" t="inlineStr">
        <is>
          <t>Vaultline ACV of new customers</t>
        </is>
      </c>
      <c r="C464" s="2" t="inlineStr">
        <is>
          <t>GBP k</t>
        </is>
      </c>
      <c r="D464" s="15">
        <f>Inputs_Drivers!C97</f>
        <v/>
      </c>
      <c r="E464" s="15">
        <f>Inputs_Drivers!D97</f>
        <v/>
      </c>
      <c r="F464" s="15">
        <f>Inputs_Drivers!E97</f>
        <v/>
      </c>
      <c r="G464" s="2" t="inlineStr">
        <is>
          <t>static</t>
        </is>
      </c>
      <c r="I464" s="5" t="inlineStr">
        <is>
          <t>Acquisition: Vaultline standalone (opening position and cost structure)</t>
        </is>
      </c>
      <c r="J464" s="5" t="inlineStr"/>
    </row>
    <row r="465">
      <c r="A465" s="5" t="inlineStr">
        <is>
          <t>inp_v_cogs_pct</t>
        </is>
      </c>
      <c r="B465" s="5" t="inlineStr">
        <is>
          <t>Vaultline cost of revenue</t>
        </is>
      </c>
      <c r="C465" s="2" t="inlineStr">
        <is>
          <t>% of revenue</t>
        </is>
      </c>
      <c r="D465" s="17">
        <f>Inputs_Drivers!C98</f>
        <v/>
      </c>
      <c r="E465" s="17">
        <f>Inputs_Drivers!D98</f>
        <v/>
      </c>
      <c r="F465" s="17">
        <f>Inputs_Drivers!E98</f>
        <v/>
      </c>
      <c r="G465" s="2" t="inlineStr">
        <is>
          <t>static</t>
        </is>
      </c>
      <c r="I465" s="5" t="inlineStr">
        <is>
          <t>Acquisition: Vaultline standalone (opening position and cost structure)</t>
        </is>
      </c>
      <c r="J465" s="5" t="inlineStr">
        <is>
          <t>Includes the intercompany software cost.</t>
        </is>
      </c>
    </row>
    <row r="466">
      <c r="A466" s="5" t="inlineStr">
        <is>
          <t>inp_v_rd_pct</t>
        </is>
      </c>
      <c r="B466" s="5" t="inlineStr">
        <is>
          <t>Vaultline R&amp;D</t>
        </is>
      </c>
      <c r="C466" s="2" t="inlineStr">
        <is>
          <t>% of revenue</t>
        </is>
      </c>
      <c r="D466" s="17">
        <f>Inputs_Drivers!C99</f>
        <v/>
      </c>
      <c r="E466" s="17">
        <f>Inputs_Drivers!D99</f>
        <v/>
      </c>
      <c r="F466" s="17">
        <f>Inputs_Drivers!E99</f>
        <v/>
      </c>
      <c r="G466" s="2" t="inlineStr">
        <is>
          <t>static</t>
        </is>
      </c>
      <c r="I466" s="5" t="inlineStr">
        <is>
          <t>Acquisition: Vaultline standalone (opening position and cost structure)</t>
        </is>
      </c>
      <c r="J466" s="5" t="inlineStr"/>
    </row>
    <row r="467">
      <c r="A467" s="5" t="inlineStr">
        <is>
          <t>inp_v_sm_pct</t>
        </is>
      </c>
      <c r="B467" s="5" t="inlineStr">
        <is>
          <t>Vaultline sales &amp; marketing</t>
        </is>
      </c>
      <c r="C467" s="2" t="inlineStr">
        <is>
          <t>% of revenue</t>
        </is>
      </c>
      <c r="D467" s="17">
        <f>Inputs_Drivers!C100</f>
        <v/>
      </c>
      <c r="E467" s="17">
        <f>Inputs_Drivers!D100</f>
        <v/>
      </c>
      <c r="F467" s="17">
        <f>Inputs_Drivers!E100</f>
        <v/>
      </c>
      <c r="G467" s="2" t="inlineStr">
        <is>
          <t>static</t>
        </is>
      </c>
      <c r="I467" s="5" t="inlineStr">
        <is>
          <t>Acquisition: Vaultline standalone (opening position and cost structure)</t>
        </is>
      </c>
      <c r="J467" s="5" t="inlineStr"/>
    </row>
    <row r="468">
      <c r="A468" s="5" t="inlineStr">
        <is>
          <t>inp_v_ga_pct</t>
        </is>
      </c>
      <c r="B468" s="5" t="inlineStr">
        <is>
          <t>Vaultline G&amp;A</t>
        </is>
      </c>
      <c r="C468" s="2" t="inlineStr">
        <is>
          <t>% of revenue</t>
        </is>
      </c>
      <c r="D468" s="17">
        <f>Inputs_Drivers!C101</f>
        <v/>
      </c>
      <c r="E468" s="17">
        <f>Inputs_Drivers!D101</f>
        <v/>
      </c>
      <c r="F468" s="17">
        <f>Inputs_Drivers!E101</f>
        <v/>
      </c>
      <c r="G468" s="2" t="inlineStr">
        <is>
          <t>static</t>
        </is>
      </c>
      <c r="I468" s="5" t="inlineStr">
        <is>
          <t>Acquisition: Vaultline standalone (opening position and cost structure)</t>
        </is>
      </c>
      <c r="J468" s="5" t="inlineStr"/>
    </row>
    <row r="469">
      <c r="A469" s="5" t="inlineStr">
        <is>
          <t>inp_v_dso</t>
        </is>
      </c>
      <c r="B469" s="5" t="inlineStr">
        <is>
          <t>Vaultline payment terms (DSO)</t>
        </is>
      </c>
      <c r="C469" s="2" t="inlineStr">
        <is>
          <t>days</t>
        </is>
      </c>
      <c r="D469" s="19">
        <f>Inputs_Drivers!C102</f>
        <v/>
      </c>
      <c r="E469" s="19">
        <f>Inputs_Drivers!D102</f>
        <v/>
      </c>
      <c r="F469" s="19">
        <f>Inputs_Drivers!E102</f>
        <v/>
      </c>
      <c r="G469" s="2" t="inlineStr">
        <is>
          <t>static</t>
        </is>
      </c>
      <c r="I469" s="5" t="inlineStr">
        <is>
          <t>Acquisition: Vaultline standalone (opening position and cost structure)</t>
        </is>
      </c>
      <c r="J469" s="5" t="inlineStr"/>
    </row>
    <row r="470">
      <c r="A470" s="5" t="inlineStr">
        <is>
          <t>inp_v_ap_months</t>
        </is>
      </c>
      <c r="B470" s="5" t="inlineStr">
        <is>
          <t>Vaultline payables</t>
        </is>
      </c>
      <c r="C470" s="2" t="inlineStr">
        <is>
          <t>months of costs</t>
        </is>
      </c>
      <c r="D470" s="15">
        <f>Inputs_Drivers!C103</f>
        <v/>
      </c>
      <c r="E470" s="15">
        <f>Inputs_Drivers!D103</f>
        <v/>
      </c>
      <c r="F470" s="15">
        <f>Inputs_Drivers!E103</f>
        <v/>
      </c>
      <c r="G470" s="2" t="inlineStr">
        <is>
          <t>static</t>
        </is>
      </c>
      <c r="I470" s="5" t="inlineStr">
        <is>
          <t>Acquisition: Vaultline standalone (opening position and cost structure)</t>
        </is>
      </c>
      <c r="J470" s="5" t="inlineStr"/>
    </row>
    <row r="471">
      <c r="A471" s="5" t="inlineStr">
        <is>
          <t>inp_v_capex_pct</t>
        </is>
      </c>
      <c r="B471" s="5" t="inlineStr">
        <is>
          <t>Vaultline capex</t>
        </is>
      </c>
      <c r="C471" s="2" t="inlineStr">
        <is>
          <t>% of revenue</t>
        </is>
      </c>
      <c r="D471" s="17">
        <f>Inputs_Drivers!C104</f>
        <v/>
      </c>
      <c r="E471" s="17">
        <f>Inputs_Drivers!D104</f>
        <v/>
      </c>
      <c r="F471" s="17">
        <f>Inputs_Drivers!E104</f>
        <v/>
      </c>
      <c r="G471" s="2" t="inlineStr">
        <is>
          <t>static</t>
        </is>
      </c>
      <c r="I471" s="5" t="inlineStr">
        <is>
          <t>Acquisition: Vaultline standalone (opening position and cost structure)</t>
        </is>
      </c>
      <c r="J471" s="5" t="inlineStr"/>
    </row>
    <row r="472">
      <c r="A472" s="5" t="inlineStr">
        <is>
          <t>inp_v_dep_life</t>
        </is>
      </c>
      <c r="B472" s="5" t="inlineStr">
        <is>
          <t>Vaultline depreciation life</t>
        </is>
      </c>
      <c r="C472" s="2" t="inlineStr">
        <is>
          <t>months</t>
        </is>
      </c>
      <c r="D472" s="19">
        <f>Inputs_Drivers!C105</f>
        <v/>
      </c>
      <c r="E472" s="19">
        <f>Inputs_Drivers!D105</f>
        <v/>
      </c>
      <c r="F472" s="19">
        <f>Inputs_Drivers!E105</f>
        <v/>
      </c>
      <c r="G472" s="2" t="inlineStr">
        <is>
          <t>static</t>
        </is>
      </c>
      <c r="I472" s="5" t="inlineStr">
        <is>
          <t>Acquisition: Vaultline standalone (opening position and cost structure)</t>
        </is>
      </c>
      <c r="J472" s="5" t="inlineStr"/>
    </row>
    <row r="473">
      <c r="A473" s="5" t="inlineStr">
        <is>
          <t>inp_v_open_cash</t>
        </is>
      </c>
      <c r="B473" s="5" t="inlineStr">
        <is>
          <t>Vaultline opening cash</t>
        </is>
      </c>
      <c r="C473" s="2" t="inlineStr">
        <is>
          <t>GBP k</t>
        </is>
      </c>
      <c r="D473" s="19">
        <f>Inputs_Drivers!C106</f>
        <v/>
      </c>
      <c r="E473" s="19">
        <f>Inputs_Drivers!D106</f>
        <v/>
      </c>
      <c r="F473" s="19">
        <f>Inputs_Drivers!E106</f>
        <v/>
      </c>
      <c r="G473" s="2" t="inlineStr">
        <is>
          <t>static</t>
        </is>
      </c>
      <c r="I473" s="5" t="inlineStr">
        <is>
          <t>Acquisition: Vaultline standalone (opening position and cost structure)</t>
        </is>
      </c>
      <c r="J473" s="5" t="inlineStr"/>
    </row>
    <row r="474">
      <c r="A474" s="5" t="inlineStr">
        <is>
          <t>inp_v_open_ar</t>
        </is>
      </c>
      <c r="B474" s="5" t="inlineStr">
        <is>
          <t>Vaultline opening receivables</t>
        </is>
      </c>
      <c r="C474" s="2" t="inlineStr">
        <is>
          <t>GBP k</t>
        </is>
      </c>
      <c r="D474" s="19">
        <f>Inputs_Drivers!C107</f>
        <v/>
      </c>
      <c r="E474" s="19">
        <f>Inputs_Drivers!D107</f>
        <v/>
      </c>
      <c r="F474" s="19">
        <f>Inputs_Drivers!E107</f>
        <v/>
      </c>
      <c r="G474" s="2" t="inlineStr">
        <is>
          <t>static</t>
        </is>
      </c>
      <c r="I474" s="5" t="inlineStr">
        <is>
          <t>Acquisition: Vaultline standalone (opening position and cost structure)</t>
        </is>
      </c>
      <c r="J474" s="5" t="inlineStr"/>
    </row>
    <row r="475">
      <c r="A475" s="5" t="inlineStr">
        <is>
          <t>inp_v_open_ppe</t>
        </is>
      </c>
      <c r="B475" s="5" t="inlineStr">
        <is>
          <t>Vaultline opening PP&amp;E</t>
        </is>
      </c>
      <c r="C475" s="2" t="inlineStr">
        <is>
          <t>GBP k</t>
        </is>
      </c>
      <c r="D475" s="19">
        <f>Inputs_Drivers!C108</f>
        <v/>
      </c>
      <c r="E475" s="19">
        <f>Inputs_Drivers!D108</f>
        <v/>
      </c>
      <c r="F475" s="19">
        <f>Inputs_Drivers!E108</f>
        <v/>
      </c>
      <c r="G475" s="2" t="inlineStr">
        <is>
          <t>static</t>
        </is>
      </c>
      <c r="I475" s="5" t="inlineStr">
        <is>
          <t>Acquisition: Vaultline standalone (opening position and cost structure)</t>
        </is>
      </c>
      <c r="J475" s="5" t="inlineStr"/>
    </row>
    <row r="476">
      <c r="A476" s="5" t="inlineStr">
        <is>
          <t>inp_lt_newarr_growth</t>
        </is>
      </c>
      <c r="B476" s="5" t="inlineStr">
        <is>
          <t>Annual growth in new-logo ARR</t>
        </is>
      </c>
      <c r="C476" s="2" t="inlineStr">
        <is>
          <t>% p.a.</t>
        </is>
      </c>
      <c r="D476" s="17">
        <f>Inputs_Drivers!C110</f>
        <v/>
      </c>
      <c r="E476" s="17">
        <f>Inputs_Drivers!D110</f>
        <v/>
      </c>
      <c r="F476" s="17">
        <f>Inputs_Drivers!E110</f>
        <v/>
      </c>
      <c r="G476" s="2" t="inlineStr">
        <is>
          <t>static</t>
        </is>
      </c>
      <c r="I476" s="5" t="inlineStr">
        <is>
          <t>Long-term extension (years 3-5)</t>
        </is>
      </c>
      <c r="J476" s="5" t="inlineStr">
        <is>
          <t>New-logo ARR in year N = year N-1 x (1 + this).</t>
        </is>
      </c>
    </row>
    <row r="477">
      <c r="A477" s="5" t="inlineStr">
        <is>
          <t>inp_lt_nrr_step</t>
        </is>
      </c>
      <c r="B477" s="5" t="inlineStr">
        <is>
          <t>Annual change in expansion rate</t>
        </is>
      </c>
      <c r="C477" s="2" t="inlineStr">
        <is>
          <t>pts p.a.</t>
        </is>
      </c>
      <c r="D477" s="17">
        <f>Inputs_Drivers!C111</f>
        <v/>
      </c>
      <c r="E477" s="17">
        <f>Inputs_Drivers!D111</f>
        <v/>
      </c>
      <c r="F477" s="17">
        <f>Inputs_Drivers!E111</f>
        <v/>
      </c>
      <c r="G477" s="2" t="inlineStr">
        <is>
          <t>static</t>
        </is>
      </c>
      <c r="I477" s="5" t="inlineStr">
        <is>
          <t>Long-term extension (years 3-5)</t>
        </is>
      </c>
      <c r="J477" s="5" t="inlineStr">
        <is>
          <t>Added to the prior year's expansion rate. Churn rate is held at the prior year.</t>
        </is>
      </c>
    </row>
    <row r="478">
      <c r="A478" s="5" t="inlineStr">
        <is>
          <t>inp_lt_gm_step</t>
        </is>
      </c>
      <c r="B478" s="5" t="inlineStr">
        <is>
          <t>Annual change in gross margin</t>
        </is>
      </c>
      <c r="C478" s="2" t="inlineStr">
        <is>
          <t>pts p.a.</t>
        </is>
      </c>
      <c r="D478" s="17">
        <f>Inputs_Drivers!C112</f>
        <v/>
      </c>
      <c r="E478" s="17">
        <f>Inputs_Drivers!D112</f>
        <v/>
      </c>
      <c r="F478" s="17">
        <f>Inputs_Drivers!E112</f>
        <v/>
      </c>
      <c r="G478" s="2" t="inlineStr">
        <is>
          <t>static</t>
        </is>
      </c>
      <c r="I478" s="5" t="inlineStr">
        <is>
          <t>Long-term extension (years 3-5)</t>
        </is>
      </c>
      <c r="J478" s="5" t="inlineStr"/>
    </row>
    <row r="479">
      <c r="A479" s="5" t="inlineStr">
        <is>
          <t>inp_lt_rd_step</t>
        </is>
      </c>
      <c r="B479" s="5" t="inlineStr">
        <is>
          <t>Annual reduction in R&amp;D as % of revenue</t>
        </is>
      </c>
      <c r="C479" s="2" t="inlineStr">
        <is>
          <t>pts p.a.</t>
        </is>
      </c>
      <c r="D479" s="17">
        <f>Inputs_Drivers!C113</f>
        <v/>
      </c>
      <c r="E479" s="17">
        <f>Inputs_Drivers!D113</f>
        <v/>
      </c>
      <c r="F479" s="17">
        <f>Inputs_Drivers!E113</f>
        <v/>
      </c>
      <c r="G479" s="2" t="inlineStr">
        <is>
          <t>static</t>
        </is>
      </c>
      <c r="I479" s="5" t="inlineStr">
        <is>
          <t>Long-term extension (years 3-5)</t>
        </is>
      </c>
      <c r="J479" s="5" t="inlineStr">
        <is>
          <t>Operating leverage.</t>
        </is>
      </c>
    </row>
    <row r="480">
      <c r="A480" s="5" t="inlineStr">
        <is>
          <t>inp_lt_sm_step</t>
        </is>
      </c>
      <c r="B480" s="5" t="inlineStr">
        <is>
          <t>Annual reduction in S&amp;M as % of revenue</t>
        </is>
      </c>
      <c r="C480" s="2" t="inlineStr">
        <is>
          <t>pts p.a.</t>
        </is>
      </c>
      <c r="D480" s="17">
        <f>Inputs_Drivers!C114</f>
        <v/>
      </c>
      <c r="E480" s="17">
        <f>Inputs_Drivers!D114</f>
        <v/>
      </c>
      <c r="F480" s="17">
        <f>Inputs_Drivers!E114</f>
        <v/>
      </c>
      <c r="G480" s="2" t="inlineStr">
        <is>
          <t>static</t>
        </is>
      </c>
      <c r="I480" s="5" t="inlineStr">
        <is>
          <t>Long-term extension (years 3-5)</t>
        </is>
      </c>
      <c r="J480" s="5" t="inlineStr">
        <is>
          <t>Operating leverage.</t>
        </is>
      </c>
    </row>
    <row r="481">
      <c r="A481" s="5" t="inlineStr">
        <is>
          <t>inp_lt_ga_step</t>
        </is>
      </c>
      <c r="B481" s="5" t="inlineStr">
        <is>
          <t>Annual reduction in G&amp;A as % of revenue</t>
        </is>
      </c>
      <c r="C481" s="2" t="inlineStr">
        <is>
          <t>pts p.a.</t>
        </is>
      </c>
      <c r="D481" s="17">
        <f>Inputs_Drivers!C115</f>
        <v/>
      </c>
      <c r="E481" s="17">
        <f>Inputs_Drivers!D115</f>
        <v/>
      </c>
      <c r="F481" s="17">
        <f>Inputs_Drivers!E115</f>
        <v/>
      </c>
      <c r="G481" s="2" t="inlineStr">
        <is>
          <t>static</t>
        </is>
      </c>
      <c r="I481" s="5" t="inlineStr">
        <is>
          <t>Long-term extension (years 3-5)</t>
        </is>
      </c>
      <c r="J481" s="5" t="inlineStr">
        <is>
          <t>Operating leverage.</t>
        </is>
      </c>
    </row>
    <row r="482">
      <c r="A482" s="5" t="inlineStr">
        <is>
          <t>inp_capex_pct</t>
        </is>
      </c>
      <c r="B482" s="5" t="inlineStr">
        <is>
          <t>Capex</t>
        </is>
      </c>
      <c r="C482" s="2" t="inlineStr">
        <is>
          <t>% of revenue</t>
        </is>
      </c>
      <c r="D482" s="17">
        <f>Inputs_Drivers!C117</f>
        <v/>
      </c>
      <c r="E482" s="17">
        <f>Inputs_Drivers!D117</f>
        <v/>
      </c>
      <c r="F482" s="17">
        <f>Inputs_Drivers!E117</f>
        <v/>
      </c>
      <c r="G482" s="2" t="inlineStr">
        <is>
          <t>static</t>
        </is>
      </c>
      <c r="I482" s="5" t="inlineStr">
        <is>
          <t>Accounting and tax</t>
        </is>
      </c>
      <c r="J482" s="5" t="inlineStr"/>
    </row>
    <row r="483">
      <c r="A483" s="5" t="inlineStr">
        <is>
          <t>inp_dep_life</t>
        </is>
      </c>
      <c r="B483" s="5" t="inlineStr">
        <is>
          <t>Depreciation life (declining balance on opening NBV)</t>
        </is>
      </c>
      <c r="C483" s="2" t="inlineStr">
        <is>
          <t>months</t>
        </is>
      </c>
      <c r="D483" s="19">
        <f>Inputs_Drivers!C118</f>
        <v/>
      </c>
      <c r="E483" s="19">
        <f>Inputs_Drivers!D118</f>
        <v/>
      </c>
      <c r="F483" s="19">
        <f>Inputs_Drivers!E118</f>
        <v/>
      </c>
      <c r="G483" s="2" t="inlineStr">
        <is>
          <t>static</t>
        </is>
      </c>
      <c r="I483" s="5" t="inlineStr">
        <is>
          <t>Accounting and tax</t>
        </is>
      </c>
      <c r="J483" s="5" t="inlineStr">
        <is>
          <t>Depreciation = opening NBV / life.</t>
        </is>
      </c>
    </row>
    <row r="484">
      <c r="A484" s="5" t="inlineStr">
        <is>
          <t>inp_interest</t>
        </is>
      </c>
      <c r="B484" s="5" t="inlineStr">
        <is>
          <t>Interest rate earned on cash</t>
        </is>
      </c>
      <c r="C484" s="2" t="inlineStr">
        <is>
          <t>% p.a.</t>
        </is>
      </c>
      <c r="D484" s="17">
        <f>Inputs_Drivers!C119</f>
        <v/>
      </c>
      <c r="E484" s="17">
        <f>Inputs_Drivers!D119</f>
        <v/>
      </c>
      <c r="F484" s="17">
        <f>Inputs_Drivers!E119</f>
        <v/>
      </c>
      <c r="G484" s="2" t="inlineStr">
        <is>
          <t>static</t>
        </is>
      </c>
      <c r="I484" s="5" t="inlineStr">
        <is>
          <t>Accounting and tax</t>
        </is>
      </c>
      <c r="J484" s="5" t="inlineStr">
        <is>
          <t>Applied to PRIOR-period cash: avoids circularity.</t>
        </is>
      </c>
    </row>
    <row r="485">
      <c r="A485" s="5" t="inlineStr">
        <is>
          <t>inp_tax</t>
        </is>
      </c>
      <c r="B485" s="5" t="inlineStr">
        <is>
          <t>Corporation tax rate</t>
        </is>
      </c>
      <c r="C485" s="2" t="inlineStr">
        <is>
          <t>%</t>
        </is>
      </c>
      <c r="D485" s="17">
        <f>Inputs_Drivers!C120</f>
        <v/>
      </c>
      <c r="E485" s="17">
        <f>Inputs_Drivers!D120</f>
        <v/>
      </c>
      <c r="F485" s="17">
        <f>Inputs_Drivers!E120</f>
        <v/>
      </c>
      <c r="G485" s="2" t="inlineStr">
        <is>
          <t>static</t>
        </is>
      </c>
      <c r="I485" s="5" t="inlineStr">
        <is>
          <t>Accounting and tax</t>
        </is>
      </c>
      <c r="J485" s="5" t="inlineStr">
        <is>
          <t>Charged on positive profit before tax only. No loss carry-forward in the MVP.</t>
        </is>
      </c>
    </row>
    <row r="486">
      <c r="A486" s="5" t="inlineStr">
        <is>
          <t>inp_dpo</t>
        </is>
      </c>
      <c r="B486" s="5" t="inlineStr">
        <is>
          <t>Supplier payment terms (DPO)</t>
        </is>
      </c>
      <c r="C486" s="2" t="inlineStr">
        <is>
          <t>days</t>
        </is>
      </c>
      <c r="D486" s="19">
        <f>Inputs_Drivers!C121</f>
        <v/>
      </c>
      <c r="E486" s="19">
        <f>Inputs_Drivers!D121</f>
        <v/>
      </c>
      <c r="F486" s="19">
        <f>Inputs_Drivers!E121</f>
        <v/>
      </c>
      <c r="G486" s="2" t="inlineStr">
        <is>
          <t>static</t>
        </is>
      </c>
      <c r="I486" s="5" t="inlineStr">
        <is>
          <t>Accounting and tax</t>
        </is>
      </c>
      <c r="J486" s="5" t="inlineStr">
        <is>
          <t>Payables = non-payroll spend x DPO / 30 (valid 0-30).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2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Checks - integrity tests and master flag</t>
        </is>
      </c>
    </row>
    <row r="2">
      <c r="A2" s="2" t="inlineStr">
        <is>
          <t>Each check returns a difference (0 = perfect). It passes when the absolute value is within tolerance.</t>
        </is>
      </c>
    </row>
    <row r="3">
      <c r="A3" s="3" t="inlineStr">
        <is>
          <t>Global tolerance for tie-out checks (GBP k)</t>
        </is>
      </c>
      <c r="C3" s="27" t="n">
        <v>0.01</v>
      </c>
    </row>
    <row r="4">
      <c r="A4" s="29" t="inlineStr">
        <is>
          <t>Check</t>
        </is>
      </c>
      <c r="B4" s="29" t="inlineStr">
        <is>
          <t>What it proves</t>
        </is>
      </c>
      <c r="C4" s="29" t="inlineStr">
        <is>
          <t>Value</t>
        </is>
      </c>
      <c r="D4" s="29" t="inlineStr">
        <is>
          <t>Tolerance</t>
        </is>
      </c>
      <c r="E4" s="29" t="inlineStr">
        <is>
          <t>Pass (1/0)</t>
        </is>
      </c>
    </row>
    <row r="5">
      <c r="A5" s="5" t="inlineStr">
        <is>
          <t>Balance sheet balances</t>
        </is>
      </c>
      <c r="B5" s="5" t="inlineStr">
        <is>
          <t>Assets = liabilities + equity in every period (largest absolute gap, GBP k)</t>
        </is>
      </c>
      <c r="C5" s="47">
        <f>MAX(MAX(BS!$N$23:$AL$23),-MIN(BS!$N$23:$AL$23))</f>
        <v/>
      </c>
      <c r="D5" s="47">
        <f>chk_tol</f>
        <v/>
      </c>
      <c r="E5" s="10">
        <f>IF(ABS(C5)&lt;=D5,1,0)</f>
        <v/>
      </c>
    </row>
    <row r="6">
      <c r="A6" s="5" t="inlineStr">
        <is>
          <t>Cash ties to cash flow</t>
        </is>
      </c>
      <c r="B6" s="5" t="inlineStr">
        <is>
          <t>Closing cash = opening cash + sum of net cash flows</t>
        </is>
      </c>
      <c r="C6" s="47">
        <f>ABS(CF!AL24-(CF!N24+SUM(CF!$O$22:$AL$22)))+ABS(BS!AL9-CF!AL24)</f>
        <v/>
      </c>
      <c r="D6" s="47">
        <f>chk_tol</f>
        <v/>
      </c>
      <c r="E6" s="10">
        <f>IF(ABS(C6)&lt;=D6,1,0)</f>
        <v/>
      </c>
    </row>
    <row r="7">
      <c r="A7" s="5" t="inlineStr">
        <is>
          <t>ARR roll-forward</t>
        </is>
      </c>
      <c r="B7" s="5" t="inlineStr">
        <is>
          <t>Closing ARR = opening ARR + new + expansion - churn over 24 months</t>
        </is>
      </c>
      <c r="C7" s="47">
        <f>Rev_Build!AL47-(Rev_Build!N47+SUM(Rev_Build!$O$44:$AL$44)+SUM(Rev_Build!$O$45:$AL$45)+SUM(Rev_Build!$O$46:$AL$46))</f>
        <v/>
      </c>
      <c r="D7" s="47">
        <f>chk_tol</f>
        <v/>
      </c>
      <c r="E7" s="10">
        <f>IF(ABS(C7)&lt;=D7,1,0)</f>
        <v/>
      </c>
    </row>
    <row r="8">
      <c r="A8" s="5" t="inlineStr">
        <is>
          <t>ARR segments sum to total</t>
        </is>
      </c>
      <c r="B8" s="5" t="inlineStr">
        <is>
          <t>Enterprise + Mid-market closing ARR = SaaS_Metrics closing ARR in every period</t>
        </is>
      </c>
      <c r="C8" s="47">
        <f>MAX(MAX(SaaS_Metrics!$N$14:$AL$14),-MIN(SaaS_Metrics!$N$14:$AL$14))</f>
        <v/>
      </c>
      <c r="D8" s="47">
        <f>chk_tol</f>
        <v/>
      </c>
      <c r="E8" s="10">
        <f>IF(ABS(C8)&lt;=D8,1,0)</f>
        <v/>
      </c>
    </row>
    <row r="9">
      <c r="A9" s="5" t="inlineStr">
        <is>
          <t>Customer roll-forward</t>
        </is>
      </c>
      <c r="B9" s="5" t="inlineStr">
        <is>
          <t>Closing customers = opening + new - churned over 24 months</t>
        </is>
      </c>
      <c r="C9" s="47">
        <f>Rev_Build!AL51-(Rev_Build!N51+SUM(Rev_Build!$O$49:$AL$49)+SUM(Rev_Build!$O$50:$AL$50))</f>
        <v/>
      </c>
      <c r="D9" s="47">
        <f>chk_tol</f>
        <v/>
      </c>
      <c r="E9" s="10">
        <f>IF(ABS(C9)&lt;=D9,1,0)</f>
        <v/>
      </c>
    </row>
    <row r="10">
      <c r="A10" s="5" t="inlineStr">
        <is>
          <t>Deferred revenue roll-forward</t>
        </is>
      </c>
      <c r="B10" s="5" t="inlineStr">
        <is>
          <t>Closing deferred revenue = opening + billings - revenue recognised</t>
        </is>
      </c>
      <c r="C10" s="47">
        <f>Rev_Rec!AL34-(Rev_Rec!N34+SUM(Rev_Rec!$O$23:$AL$23)-SUM(Rev_Rec!$O$22:$AL$22))</f>
        <v/>
      </c>
      <c r="D10" s="47">
        <f>chk_tol</f>
        <v/>
      </c>
      <c r="E10" s="10">
        <f>IF(ABS(C10)&lt;=D10,1,0)</f>
        <v/>
      </c>
    </row>
    <row r="11">
      <c r="A11" s="5" t="inlineStr">
        <is>
          <t>Revenue ties across tabs</t>
        </is>
      </c>
      <c r="B11" s="5" t="inlineStr">
        <is>
          <t>Income statement revenue = Rev_Rec revenue (24-month total)</t>
        </is>
      </c>
      <c r="C11" s="47">
        <f>SUM(IS!$O$12:$AL$12)-SUM(Rev_Rec!$O$22:$AL$22)</f>
        <v/>
      </c>
      <c r="D11" s="47">
        <f>chk_tol</f>
        <v/>
      </c>
      <c r="E11" s="10">
        <f>IF(ABS(C11)&lt;=D11,1,0)</f>
        <v/>
      </c>
    </row>
    <row r="12">
      <c r="A12" s="5" t="inlineStr">
        <is>
          <t>Net income ties to equity</t>
        </is>
      </c>
      <c r="B12" s="5" t="inlineStr">
        <is>
          <t>Closing equity = opening equity + sum of net income</t>
        </is>
      </c>
      <c r="C12" s="47">
        <f>BS!AL21-(BS!N21+SUM(IS!$O$36:$AL$36))</f>
        <v/>
      </c>
      <c r="D12" s="47">
        <f>chk_tol</f>
        <v/>
      </c>
      <c r="E12" s="10">
        <f>IF(ABS(C12)&lt;=D12,1,0)</f>
        <v/>
      </c>
    </row>
    <row r="13">
      <c r="A13" s="5" t="inlineStr">
        <is>
          <t>Deferred revenue never negative</t>
        </is>
      </c>
      <c r="B13" s="5" t="inlineStr">
        <is>
          <t>Lowest deferred revenue balance is &gt;= 0 (shortfall shown)</t>
        </is>
      </c>
      <c r="C13" s="47">
        <f>MIN(0,MIN(Rev_Rec!$O$34:$AL$34))</f>
        <v/>
      </c>
      <c r="D13" s="27" t="n">
        <v>0</v>
      </c>
      <c r="E13" s="10">
        <f>IF(ABS(C13)&lt;=D13,1,0)</f>
        <v/>
      </c>
    </row>
    <row r="14">
      <c r="A14" s="5" t="inlineStr">
        <is>
          <t>Cash never negative</t>
        </is>
      </c>
      <c r="B14" s="5" t="inlineStr">
        <is>
          <t>Lowest cash balance is &gt;= 0 (shortfall shown). Fails when the plan runs out of cash</t>
        </is>
      </c>
      <c r="C14" s="47">
        <f>MIN(0,MIN(BS!$O$9:$AL$9))</f>
        <v/>
      </c>
      <c r="D14" s="27" t="n">
        <v>0</v>
      </c>
      <c r="E14" s="10">
        <f>IF(ABS(C14)&lt;=D14,1,0)</f>
        <v/>
      </c>
    </row>
    <row r="15">
      <c r="A15" s="5" t="inlineStr">
        <is>
          <t>Billings never negative</t>
        </is>
      </c>
      <c r="B15" s="5" t="inlineStr">
        <is>
          <t>Lowest monthly billings is &gt;= 0 (shortfall shown)</t>
        </is>
      </c>
      <c r="C15" s="47">
        <f>MIN(0,MIN(Rev_Rec!$O$23:$AL$23))</f>
        <v/>
      </c>
      <c r="D15" s="27" t="n">
        <v>0</v>
      </c>
      <c r="E15" s="10">
        <f>IF(ABS(C15)&lt;=D15,1,0)</f>
        <v/>
      </c>
    </row>
    <row r="16">
      <c r="A16" s="5" t="inlineStr">
        <is>
          <t>Contract-cost roll-forward</t>
        </is>
      </c>
      <c r="B16" s="5" t="inlineStr">
        <is>
          <t>Closing asset = opening + capitalised - amortised over 24 months</t>
        </is>
      </c>
      <c r="C16" s="47">
        <f>Contract_Costs!AL17-(Contract_Costs!N17+SUM(Contract_Costs!$O$15:$AL$15)+SUM(Contract_Costs!$O$16:$AL$16))</f>
        <v/>
      </c>
      <c r="D16" s="47">
        <f>chk_tol</f>
        <v/>
      </c>
      <c r="E16" s="10">
        <f>IF(ABS(C16)&lt;=D16,1,0)</f>
        <v/>
      </c>
    </row>
    <row r="17">
      <c r="A17" s="5" t="inlineStr">
        <is>
          <t>Scenario selector valid</t>
        </is>
      </c>
      <c r="B17" s="5" t="inlineStr">
        <is>
          <t>Selected scenario exists in Inputs_Scenarios (0 = valid)</t>
        </is>
      </c>
      <c r="C17" s="47">
        <f>IF(ISNUMBER(inp_scen_idx),0,1)</f>
        <v/>
      </c>
      <c r="D17" s="27" t="n">
        <v>0</v>
      </c>
      <c r="E17" s="10">
        <f>IF(ABS(C17)&lt;=D17,1,0)</f>
        <v/>
      </c>
    </row>
    <row r="18">
      <c r="A18" s="5" t="inlineStr">
        <is>
          <t>PPA reconciles</t>
        </is>
      </c>
      <c r="B18" s="5" t="inlineStr">
        <is>
          <t>Consideration = fair value of net assets + goodwill (both bases)</t>
        </is>
      </c>
      <c r="C18" s="47">
        <f>ABS(MA_PPA!C10-MA_PPA!C28-MA_PPA!C31)+ABS(MA_PPA!D10-MA_PPA!D28-MA_PPA!D31)</f>
        <v/>
      </c>
      <c r="D18" s="47">
        <f>chk_tol</f>
        <v/>
      </c>
      <c r="E18" s="10">
        <f>IF(ABS(C18)&lt;=D18,1,0)</f>
        <v/>
      </c>
    </row>
    <row r="19">
      <c r="A19" s="5" t="inlineStr">
        <is>
          <t>Goodwill is positive</t>
        </is>
      </c>
      <c r="B19" s="5" t="inlineStr">
        <is>
          <t>A negative figure would be a bargain purchase needing re-assessment (shortfall shown)</t>
        </is>
      </c>
      <c r="C19" s="47">
        <f>MIN(0,MA_PPA!C31)</f>
        <v/>
      </c>
      <c r="D19" s="27" t="n">
        <v>0</v>
      </c>
      <c r="E19" s="10">
        <f>IF(ABS(C19)&lt;=D19,1,0)</f>
        <v/>
      </c>
    </row>
    <row r="20">
      <c r="A20" s="5" t="inlineStr">
        <is>
          <t>Vaultline book net assets = equity</t>
        </is>
      </c>
      <c r="B20" s="5" t="inlineStr">
        <is>
          <t>PPA net assets at book = Vaultline opening equity</t>
        </is>
      </c>
      <c r="C20" s="47">
        <f>MA_PPA!C21-MA_Target!N58</f>
        <v/>
      </c>
      <c r="D20" s="47">
        <f>chk_tol</f>
        <v/>
      </c>
      <c r="E20" s="10">
        <f>IF(ABS(C20)&lt;=D20,1,0)</f>
        <v/>
      </c>
    </row>
    <row r="21">
      <c r="A21" s="5" t="inlineStr">
        <is>
          <t>Vaultline balance sheet balances</t>
        </is>
      </c>
      <c r="B21" s="5" t="inlineStr">
        <is>
          <t>Largest absolute balance-sheet gap over 24 months</t>
        </is>
      </c>
      <c r="C21" s="47">
        <f>MAX(MAX(MA_Target!$N$59:$AL$59),-MIN(MA_Target!$N$59:$AL$59))</f>
        <v/>
      </c>
      <c r="D21" s="47">
        <f>chk_tol</f>
        <v/>
      </c>
      <c r="E21" s="10">
        <f>IF(ABS(C21)&lt;=D21,1,0)</f>
        <v/>
      </c>
    </row>
    <row r="22">
      <c r="A22" s="5" t="inlineStr">
        <is>
          <t>Vaultline ARR roll-forward</t>
        </is>
      </c>
      <c r="B22" s="5" t="inlineStr">
        <is>
          <t>Closing ARR = opening + new + expansion - churn over 24 months</t>
        </is>
      </c>
      <c r="C22" s="47">
        <f>MA_Target!AL17-(MA_Target!N17+SUM(MA_Target!$O$14:$AL$14)+SUM(MA_Target!$O$15:$AL$15)+SUM(MA_Target!$O$16:$AL$16))</f>
        <v/>
      </c>
      <c r="D22" s="47">
        <f>chk_tol</f>
        <v/>
      </c>
      <c r="E22" s="10">
        <f>IF(ABS(C22)&lt;=D22,1,0)</f>
        <v/>
      </c>
    </row>
    <row r="23">
      <c r="A23" s="5" t="inlineStr">
        <is>
          <t>Vaultline deferred revenue roll-forward</t>
        </is>
      </c>
      <c r="B23" s="5" t="inlineStr">
        <is>
          <t>Closing = opening + invoices - revenue</t>
        </is>
      </c>
      <c r="C23" s="47">
        <f>MA_Target!AL27-(MA_Target!N27+SUM(MA_Target!$O$21:$AL$21)-SUM(MA_Target!$O$23:$AL$23))</f>
        <v/>
      </c>
      <c r="D23" s="47">
        <f>chk_tol</f>
        <v/>
      </c>
      <c r="E23" s="10">
        <f>IF(ABS(C23)&lt;=D23,1,0)</f>
        <v/>
      </c>
    </row>
    <row r="24">
      <c r="A24" s="5" t="inlineStr">
        <is>
          <t>Valuation: WACC above terminal growth</t>
        </is>
      </c>
      <c r="B24" s="5" t="inlineStr">
        <is>
          <t>Gordon growth needs WACC &gt; g (shortfall shown)</t>
        </is>
      </c>
      <c r="C24" s="47">
        <f>MIN(0,inp_ma_wacc-inp_ma_wacc_band-inp_ma_tg-inp_ma_tg_band)</f>
        <v/>
      </c>
      <c r="D24" s="27" t="n">
        <v>0</v>
      </c>
      <c r="E24" s="10">
        <f>IF(ABS(C24)&lt;=D24,1,0)</f>
        <v/>
      </c>
    </row>
    <row r="25">
      <c r="A25" s="5" t="inlineStr">
        <is>
          <t>Pro-forma balance sheet balances</t>
        </is>
      </c>
      <c r="B25" s="5" t="inlineStr">
        <is>
          <t>Largest absolute gap over 24 months (assets - liabilities - equity)</t>
        </is>
      </c>
      <c r="C25" s="47">
        <f>MAX(MAX(MA_ProForma!$N$91:$AL$91),-MIN(MA_ProForma!$N$91:$AL$91))</f>
        <v/>
      </c>
      <c r="D25" s="47">
        <f>chk_tol</f>
        <v/>
      </c>
      <c r="E25" s="10">
        <f>IF(ABS(C25)&lt;=D25,1,0)</f>
        <v/>
      </c>
    </row>
    <row r="26">
      <c r="A26" s="5" t="inlineStr">
        <is>
          <t>Pro-forma cash never negative</t>
        </is>
      </c>
      <c r="B26" s="5" t="inlineStr">
        <is>
          <t>Lowest pro-forma cash balance is &gt;= 0 (shortfall shown). Fails when the deal funding is too thin</t>
        </is>
      </c>
      <c r="C26" s="47">
        <f>MIN(0,MIN(MA_ProForma!$N$74:$AL$74))</f>
        <v/>
      </c>
      <c r="D26" s="27" t="n">
        <v>0</v>
      </c>
      <c r="E26" s="10">
        <f>IF(ABS(C26)&lt;=D26,1,0)</f>
        <v/>
      </c>
    </row>
    <row r="27">
      <c r="A27" s="5" t="inlineStr">
        <is>
          <t>Intercompany elimination is EBITDA-neutral</t>
        </is>
      </c>
      <c r="B27" s="5" t="inlineStr">
        <is>
          <t>Eliminated revenue and cost net to zero over 24 months</t>
        </is>
      </c>
      <c r="C27" s="47">
        <f>SUM(MA_ProForma!$O$43:$AL$43)+SUM(MA_ProForma!$O$44:$AL$44)</f>
        <v/>
      </c>
      <c r="D27" s="47">
        <f>chk_tol</f>
        <v/>
      </c>
      <c r="E27" s="10">
        <f>IF(ABS(C27)&lt;=D27,1,0)</f>
        <v/>
      </c>
    </row>
    <row r="28">
      <c r="A28" s="5" t="inlineStr">
        <is>
          <t>Cumulative cash flow row ties</t>
        </is>
      </c>
      <c r="B28" s="5" t="inlineStr">
        <is>
          <t>Year-5 cumulative incremental cash flow = sum of the five annual flows</t>
        </is>
      </c>
      <c r="C28" s="47">
        <f>MA_Returns!G14-SUM(MA_Returns!C13:G13)</f>
        <v/>
      </c>
      <c r="D28" s="47">
        <f>chk_tol</f>
        <v/>
      </c>
      <c r="E28" s="10">
        <f>IF(ABS(C28)&lt;=D28,1,0)</f>
        <v/>
      </c>
    </row>
    <row r="29">
      <c r="A29" s="5" t="inlineStr">
        <is>
          <t>Long-term view ties to monthly model</t>
        </is>
      </c>
      <c r="B29" s="5" t="inlineStr">
        <is>
          <t>Year 2 closing ARR and cash on LT_Model = monthly model (sum of absolute gaps)</t>
        </is>
      </c>
      <c r="C29" s="47">
        <f>ABS(LT_Model!D12-Rev_Build!AL47)+ABS(LT_Model!D44-BS!AL9)+ABS(LT_Model!D19-IS!AO12)</f>
        <v/>
      </c>
      <c r="D29" s="47">
        <f>chk_tol</f>
        <v/>
      </c>
      <c r="E29" s="10">
        <f>IF(ABS(C29)&lt;=D29,1,0)</f>
        <v/>
      </c>
    </row>
    <row r="30">
      <c r="A30" s="5" t="inlineStr">
        <is>
          <t>Long-term ARR roll-forward</t>
        </is>
      </c>
      <c r="B30" s="5" t="inlineStr">
        <is>
          <t>Year 5 closing ARR = year 1 opening + all new + expansion + churn</t>
        </is>
      </c>
      <c r="C30" s="47">
        <f>LT_Model!G12-(LT_Model!C8+SUM(LT_Model!C9:G9)+SUM(LT_Model!C10:G10)+SUM(LT_Model!C11:G11))</f>
        <v/>
      </c>
      <c r="D30" s="47">
        <f>chk_tol</f>
        <v/>
      </c>
      <c r="E30" s="10">
        <f>IF(ABS(C30)&lt;=D30,1,0)</f>
        <v/>
      </c>
    </row>
    <row r="31">
      <c r="A31" s="5" t="inlineStr">
        <is>
          <t>Bridge 1 ties (ARR)</t>
        </is>
      </c>
      <c r="B31" s="5" t="inlineStr">
        <is>
          <t>Budget ARR + bridge steps = forecast closing ARR</t>
        </is>
      </c>
      <c r="C31" s="47">
        <f>Budget_vs_Forecast!C44-Budget_vs_Forecast!B45</f>
        <v/>
      </c>
      <c r="D31" s="47">
        <f>chk_tol</f>
        <v/>
      </c>
      <c r="E31" s="10">
        <f>IF(ABS(C31)&lt;=D31,1,0)</f>
        <v/>
      </c>
    </row>
    <row r="32">
      <c r="A32" s="5" t="inlineStr">
        <is>
          <t>Bridge 3 ties (EBITDA)</t>
        </is>
      </c>
      <c r="B32" s="5" t="inlineStr">
        <is>
          <t>Budget EBITDA + bridge steps = forecast EBITDA</t>
        </is>
      </c>
      <c r="C32" s="47">
        <f>Budget_vs_Forecast!C64-Budget_vs_Forecast!B65</f>
        <v/>
      </c>
      <c r="D32" s="47">
        <f>chk_tol</f>
        <v/>
      </c>
      <c r="E32" s="10">
        <f>IF(ABS(C32)&lt;=D32,1,0)</f>
        <v/>
      </c>
    </row>
    <row r="33">
      <c r="A33" s="5" t="inlineStr">
        <is>
          <t>Quarterly variances sum to FY1</t>
        </is>
      </c>
      <c r="B33" s="5" t="inlineStr">
        <is>
          <t>Sum of the quarterly EBITDA variances = FY1 EBITDA variance</t>
        </is>
      </c>
      <c r="C33" s="47">
        <f>Budget_vs_Forecast!F24-Budget_vs_Forecast!D14</f>
        <v/>
      </c>
      <c r="D33" s="47">
        <f>chk_tol</f>
        <v/>
      </c>
      <c r="E33" s="10">
        <f>IF(ABS(C33)&lt;=D33,1,0)</f>
        <v/>
      </c>
    </row>
    <row r="34">
      <c r="A34" s="5" t="inlineStr">
        <is>
          <t>Static tables current (Base only)</t>
        </is>
      </c>
      <c r="B34" s="5" t="inlineStr">
        <is>
          <t>Live Base outputs = snapshot behind Lever_Analysis / Sensitivity / Business_Review (sum of absolute gaps; 0 when another scenario is selected)</t>
        </is>
      </c>
      <c r="C34" s="47">
        <f>IF(inp_scenario="Base",ABS(Lever_Analysis!D6)+ABS(Lever_Analysis!D9)+ABS(Lever_Analysis!D11)+ABS(Lever_Analysis!D17)+ABS(Lever_Analysis!D18),0)</f>
        <v/>
      </c>
      <c r="D34" s="27" t="n">
        <v>1</v>
      </c>
      <c r="E34" s="10">
        <f>IF(ABS(C34)&lt;=D34,1,0)</f>
        <v/>
      </c>
    </row>
    <row r="35">
      <c r="A35" s="5" t="inlineStr">
        <is>
          <t>Annual: FY1 opening ARR = opening balance</t>
        </is>
      </c>
      <c r="B35" s="5" t="inlineStr">
        <is>
          <t>Annual 'opening' column for FY1 equals the opening ARR (would have caught the v0.1 FY1 opening bug)</t>
        </is>
      </c>
      <c r="C35" s="47">
        <f>Rev_Build!AN43-Rev_Build!N47</f>
        <v/>
      </c>
      <c r="D35" s="47">
        <f>chk_tol</f>
        <v/>
      </c>
      <c r="E35" s="10">
        <f>IF(ABS(C35)&lt;=D35,1,0)</f>
        <v/>
      </c>
    </row>
    <row r="36">
      <c r="A36" s="5" t="inlineStr">
        <is>
          <t>Annual: FY2 opening ARR = FY1 closing ARR</t>
        </is>
      </c>
      <c r="B36" s="5" t="inlineStr">
        <is>
          <t>Annual columns chain from year to year</t>
        </is>
      </c>
      <c r="C36" s="47">
        <f>Rev_Build!AO43-Rev_Build!AN47</f>
        <v/>
      </c>
      <c r="D36" s="47">
        <f>chk_tol</f>
        <v/>
      </c>
      <c r="E36" s="10">
        <f>IF(ABS(C36)&lt;=D36,1,0)</f>
        <v/>
      </c>
    </row>
    <row r="37">
      <c r="A37" s="5" t="inlineStr">
        <is>
          <t>Annual: FY2 opening cash = FY1 closing cash</t>
        </is>
      </c>
      <c r="B37" s="5" t="inlineStr">
        <is>
          <t>Annual cash columns chain from year to year</t>
        </is>
      </c>
      <c r="C37" s="47">
        <f>CF!AO23-CF!AN24</f>
        <v/>
      </c>
      <c r="D37" s="47">
        <f>chk_tol</f>
        <v/>
      </c>
      <c r="E37" s="10">
        <f>IF(ABS(C37)&lt;=D37,1,0)</f>
        <v/>
      </c>
    </row>
    <row r="38">
      <c r="A38" s="5" t="inlineStr">
        <is>
          <t>Annual flows = 24-month totals</t>
        </is>
      </c>
      <c r="B38" s="5" t="inlineStr">
        <is>
          <t>FY1 + FY2 revenue, EBITDA and free cash flow = sum of the 24 months (sum of absolute gaps)</t>
        </is>
      </c>
      <c r="C38" s="47">
        <f>ABS(IS!AN12+IS!AO12-SUM(IS!$O$12:$AL$12))+ABS(IS!AN29+IS!AO29-SUM(IS!$O$29:$AL$29))+ABS(CF!AN22+CF!AO22-SUM(CF!$O$22:$AL$22))</f>
        <v/>
      </c>
      <c r="D38" s="47">
        <f>chk_tol</f>
        <v/>
      </c>
      <c r="E38" s="10">
        <f>IF(ABS(C38)&lt;=D38,1,0)</f>
        <v/>
      </c>
    </row>
    <row r="39">
      <c r="A39" s="5" t="inlineStr">
        <is>
          <t>EBITDA recomputed from other tabs</t>
        </is>
      </c>
      <c r="B39" s="5" t="inlineStr">
        <is>
          <t>IS EBITDA = Rev_Rec revenue - COGS tab cost of revenue - Headcount_Opex opex (independent route, 24-month total)</t>
        </is>
      </c>
      <c r="C39" s="47">
        <f>SUM(IS!$O$29:$AL$29)-(SUM(Rev_Rec!$O$22:$AL$22)-SUM(COGS!$O$13:$AL$13)-SUM(Headcount_Opex!$O$46:$AL$46))</f>
        <v/>
      </c>
      <c r="D39" s="47">
        <f>chk_tol</f>
        <v/>
      </c>
      <c r="E39" s="10">
        <f>IF(ABS(C39)&lt;=D39,1,0)</f>
        <v/>
      </c>
    </row>
    <row r="40">
      <c r="A40" s="5" t="inlineStr">
        <is>
          <t>Sign check: revenue, costs and capex are not negative</t>
        </is>
      </c>
      <c r="B40" s="5" t="inlineStr">
        <is>
          <t>Shortfall below zero across IS revenue, cost of revenue, opex and capex (0 = fine)</t>
        </is>
      </c>
      <c r="C40" s="47">
        <f>MIN(0,MIN(IS!$O$12:$AL$12))+MIN(0,MIN(IS!$O$19:$AL$19))+MIN(0,MIN(IS!$O$27:$AL$27))+MIN(0,MIN(BS!$O$27:$AL$27))</f>
        <v/>
      </c>
      <c r="D40" s="27" t="n">
        <v>0</v>
      </c>
      <c r="E40" s="10">
        <f>IF(ABS(C40)&lt;=D40,1,0)</f>
        <v/>
      </c>
    </row>
    <row r="41">
      <c r="A41" s="5" t="inlineStr">
        <is>
          <t>Sign check: ARR, customers and headcount are not negative</t>
        </is>
      </c>
      <c r="B41" s="5" t="inlineStr">
        <is>
          <t>Shortfall below zero (0 = fine)</t>
        </is>
      </c>
      <c r="C41" s="47">
        <f>MIN(0,MIN(Rev_Build!$N$47:$AL$47))+MIN(0,MIN(Rev_Build!$N$51:$AL$51))+MIN(0,MIN(Headcount_Opex!$N$33:$AL$33))</f>
        <v/>
      </c>
      <c r="D41" s="27" t="n">
        <v>0</v>
      </c>
      <c r="E41" s="10">
        <f>IF(ABS(C41)&lt;=D41,1,0)</f>
        <v/>
      </c>
    </row>
    <row r="42">
      <c r="A42" s="5" t="inlineStr">
        <is>
          <t>Sign check: churn lines are not positive</t>
        </is>
      </c>
      <c r="B42" s="5" t="inlineStr">
        <is>
          <t>Churned ARR and churned customers must be zero or negative (excess shown)</t>
        </is>
      </c>
      <c r="C42" s="47">
        <f>MAX(0,MAX(Rev_Build!$O$46:$AL$46))+MAX(0,MAX(Rev_Build!$O$50:$AL$50))</f>
        <v/>
      </c>
      <c r="D42" s="27" t="n">
        <v>0</v>
      </c>
      <c r="E42" s="10">
        <f>IF(ABS(C42)&lt;=D42,1,0)</f>
        <v/>
      </c>
    </row>
    <row r="43">
      <c r="A43" s="5" t="inlineStr">
        <is>
          <t>Inputs within allowed range</t>
        </is>
      </c>
      <c r="B43" s="5" t="inlineStr">
        <is>
          <t>Count of inputs outside the min/max on Inputs_Drivers (live scenario values included)</t>
        </is>
      </c>
      <c r="C43" s="47">
        <f>SUM(Inputs_Drivers!G8:G121)</f>
        <v/>
      </c>
      <c r="D43" s="27" t="n">
        <v>0</v>
      </c>
      <c r="E43" s="10">
        <f>IF(ABS(C43)&lt;=D43,1,0)</f>
        <v/>
      </c>
    </row>
    <row r="45">
      <c r="A45" s="3" t="inlineStr">
        <is>
          <t>MASTER CHECK</t>
        </is>
      </c>
      <c r="B45" s="5" t="inlineStr">
        <is>
          <t>1 = every check passes</t>
        </is>
      </c>
      <c r="E45" s="78">
        <f>IF(SUM(E5:E43)=COUNT(E5:E43),1,0)</f>
        <v/>
      </c>
    </row>
    <row r="46">
      <c r="A46" s="5" t="inlineStr">
        <is>
          <t>Status</t>
        </is>
      </c>
      <c r="E46" s="3">
        <f>IF(E45=1,"ALL CHECKS PASS","CHECK FAILURE")</f>
        <v/>
      </c>
    </row>
    <row r="49">
      <c r="A49" s="13" t="inlineStr">
        <is>
          <t>Outlier warnings (month-on-month moves larger than the threshold; these prompt a review, they do not fail the model)</t>
        </is>
      </c>
      <c r="B49" s="14" t="n"/>
      <c r="C49" s="14" t="n"/>
      <c r="D49" s="14" t="n"/>
      <c r="E49" s="14" t="n"/>
    </row>
    <row r="50">
      <c r="A50" s="29" t="inlineStr">
        <is>
          <t>Series</t>
        </is>
      </c>
      <c r="B50" s="29" t="inlineStr">
        <is>
          <t>Test</t>
        </is>
      </c>
      <c r="C50" s="29" t="inlineStr">
        <is>
          <t>Months flagged</t>
        </is>
      </c>
      <c r="D50" s="29" t="inlineStr">
        <is>
          <t>Threshold</t>
        </is>
      </c>
      <c r="E50" s="29" t="inlineStr">
        <is>
          <t>Status</t>
        </is>
      </c>
      <c r="H50" s="29" t="inlineStr">
        <is>
          <t>Month-on-month flags, months 2 to 24 (1 = beyond threshold)</t>
        </is>
      </c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</row>
    <row r="51">
      <c r="A51" s="5" t="inlineStr">
        <is>
          <t>Revenue</t>
        </is>
      </c>
      <c r="B51" s="5" t="inlineStr">
        <is>
          <t>Absolute month-on-month % change</t>
        </is>
      </c>
      <c r="C51" s="10">
        <f>SUM(H51:AD51)</f>
        <v/>
      </c>
      <c r="D51" s="24" t="n">
        <v>0.15</v>
      </c>
      <c r="E51" s="56">
        <f>IF(C51=0,"OK","REVIEW")</f>
        <v/>
      </c>
      <c r="H51" s="10">
        <f>IF(ABS(IS!P12/IS!O12-1)&gt;$D51,1,0)</f>
        <v/>
      </c>
      <c r="I51" s="10">
        <f>IF(ABS(IS!Q12/IS!P12-1)&gt;$D51,1,0)</f>
        <v/>
      </c>
      <c r="J51" s="10">
        <f>IF(ABS(IS!R12/IS!Q12-1)&gt;$D51,1,0)</f>
        <v/>
      </c>
      <c r="K51" s="10">
        <f>IF(ABS(IS!S12/IS!R12-1)&gt;$D51,1,0)</f>
        <v/>
      </c>
      <c r="L51" s="10">
        <f>IF(ABS(IS!T12/IS!S12-1)&gt;$D51,1,0)</f>
        <v/>
      </c>
      <c r="M51" s="10">
        <f>IF(ABS(IS!U12/IS!T12-1)&gt;$D51,1,0)</f>
        <v/>
      </c>
      <c r="N51" s="10">
        <f>IF(ABS(IS!V12/IS!U12-1)&gt;$D51,1,0)</f>
        <v/>
      </c>
      <c r="O51" s="10">
        <f>IF(ABS(IS!W12/IS!V12-1)&gt;$D51,1,0)</f>
        <v/>
      </c>
      <c r="P51" s="10">
        <f>IF(ABS(IS!X12/IS!W12-1)&gt;$D51,1,0)</f>
        <v/>
      </c>
      <c r="Q51" s="10">
        <f>IF(ABS(IS!Y12/IS!X12-1)&gt;$D51,1,0)</f>
        <v/>
      </c>
      <c r="R51" s="10">
        <f>IF(ABS(IS!Z12/IS!Y12-1)&gt;$D51,1,0)</f>
        <v/>
      </c>
      <c r="S51" s="10">
        <f>IF(ABS(IS!AA12/IS!Z12-1)&gt;$D51,1,0)</f>
        <v/>
      </c>
      <c r="T51" s="10">
        <f>IF(ABS(IS!AB12/IS!AA12-1)&gt;$D51,1,0)</f>
        <v/>
      </c>
      <c r="U51" s="10">
        <f>IF(ABS(IS!AC12/IS!AB12-1)&gt;$D51,1,0)</f>
        <v/>
      </c>
      <c r="V51" s="10">
        <f>IF(ABS(IS!AD12/IS!AC12-1)&gt;$D51,1,0)</f>
        <v/>
      </c>
      <c r="W51" s="10">
        <f>IF(ABS(IS!AE12/IS!AD12-1)&gt;$D51,1,0)</f>
        <v/>
      </c>
      <c r="X51" s="10">
        <f>IF(ABS(IS!AF12/IS!AE12-1)&gt;$D51,1,0)</f>
        <v/>
      </c>
      <c r="Y51" s="10">
        <f>IF(ABS(IS!AG12/IS!AF12-1)&gt;$D51,1,0)</f>
        <v/>
      </c>
      <c r="Z51" s="10">
        <f>IF(ABS(IS!AH12/IS!AG12-1)&gt;$D51,1,0)</f>
        <v/>
      </c>
      <c r="AA51" s="10">
        <f>IF(ABS(IS!AI12/IS!AH12-1)&gt;$D51,1,0)</f>
        <v/>
      </c>
      <c r="AB51" s="10">
        <f>IF(ABS(IS!AJ12/IS!AI12-1)&gt;$D51,1,0)</f>
        <v/>
      </c>
      <c r="AC51" s="10">
        <f>IF(ABS(IS!AK12/IS!AJ12-1)&gt;$D51,1,0)</f>
        <v/>
      </c>
      <c r="AD51" s="10">
        <f>IF(ABS(IS!AL12/IS!AK12-1)&gt;$D51,1,0)</f>
        <v/>
      </c>
    </row>
    <row r="52">
      <c r="A52" s="5" t="inlineStr">
        <is>
          <t>Total operating expense</t>
        </is>
      </c>
      <c r="B52" s="5" t="inlineStr">
        <is>
          <t>Absolute month-on-month % change</t>
        </is>
      </c>
      <c r="C52" s="10">
        <f>SUM(H52:AD52)</f>
        <v/>
      </c>
      <c r="D52" s="24" t="n">
        <v>0.15</v>
      </c>
      <c r="E52" s="56">
        <f>IF(C52=0,"OK","REVIEW")</f>
        <v/>
      </c>
      <c r="H52" s="10">
        <f>IF(ABS(IS!P27/IS!O27-1)&gt;$D52,1,0)</f>
        <v/>
      </c>
      <c r="I52" s="10">
        <f>IF(ABS(IS!Q27/IS!P27-1)&gt;$D52,1,0)</f>
        <v/>
      </c>
      <c r="J52" s="10">
        <f>IF(ABS(IS!R27/IS!Q27-1)&gt;$D52,1,0)</f>
        <v/>
      </c>
      <c r="K52" s="10">
        <f>IF(ABS(IS!S27/IS!R27-1)&gt;$D52,1,0)</f>
        <v/>
      </c>
      <c r="L52" s="10">
        <f>IF(ABS(IS!T27/IS!S27-1)&gt;$D52,1,0)</f>
        <v/>
      </c>
      <c r="M52" s="10">
        <f>IF(ABS(IS!U27/IS!T27-1)&gt;$D52,1,0)</f>
        <v/>
      </c>
      <c r="N52" s="10">
        <f>IF(ABS(IS!V27/IS!U27-1)&gt;$D52,1,0)</f>
        <v/>
      </c>
      <c r="O52" s="10">
        <f>IF(ABS(IS!W27/IS!V27-1)&gt;$D52,1,0)</f>
        <v/>
      </c>
      <c r="P52" s="10">
        <f>IF(ABS(IS!X27/IS!W27-1)&gt;$D52,1,0)</f>
        <v/>
      </c>
      <c r="Q52" s="10">
        <f>IF(ABS(IS!Y27/IS!X27-1)&gt;$D52,1,0)</f>
        <v/>
      </c>
      <c r="R52" s="10">
        <f>IF(ABS(IS!Z27/IS!Y27-1)&gt;$D52,1,0)</f>
        <v/>
      </c>
      <c r="S52" s="10">
        <f>IF(ABS(IS!AA27/IS!Z27-1)&gt;$D52,1,0)</f>
        <v/>
      </c>
      <c r="T52" s="10">
        <f>IF(ABS(IS!AB27/IS!AA27-1)&gt;$D52,1,0)</f>
        <v/>
      </c>
      <c r="U52" s="10">
        <f>IF(ABS(IS!AC27/IS!AB27-1)&gt;$D52,1,0)</f>
        <v/>
      </c>
      <c r="V52" s="10">
        <f>IF(ABS(IS!AD27/IS!AC27-1)&gt;$D52,1,0)</f>
        <v/>
      </c>
      <c r="W52" s="10">
        <f>IF(ABS(IS!AE27/IS!AD27-1)&gt;$D52,1,0)</f>
        <v/>
      </c>
      <c r="X52" s="10">
        <f>IF(ABS(IS!AF27/IS!AE27-1)&gt;$D52,1,0)</f>
        <v/>
      </c>
      <c r="Y52" s="10">
        <f>IF(ABS(IS!AG27/IS!AF27-1)&gt;$D52,1,0)</f>
        <v/>
      </c>
      <c r="Z52" s="10">
        <f>IF(ABS(IS!AH27/IS!AG27-1)&gt;$D52,1,0)</f>
        <v/>
      </c>
      <c r="AA52" s="10">
        <f>IF(ABS(IS!AI27/IS!AH27-1)&gt;$D52,1,0)</f>
        <v/>
      </c>
      <c r="AB52" s="10">
        <f>IF(ABS(IS!AJ27/IS!AI27-1)&gt;$D52,1,0)</f>
        <v/>
      </c>
      <c r="AC52" s="10">
        <f>IF(ABS(IS!AK27/IS!AJ27-1)&gt;$D52,1,0)</f>
        <v/>
      </c>
      <c r="AD52" s="10">
        <f>IF(ABS(IS!AL27/IS!AK27-1)&gt;$D52,1,0)</f>
        <v/>
      </c>
    </row>
    <row r="53">
      <c r="A53" s="5" t="inlineStr">
        <is>
          <t>Closing ARR</t>
        </is>
      </c>
      <c r="B53" s="5" t="inlineStr">
        <is>
          <t>Absolute month-on-month % change</t>
        </is>
      </c>
      <c r="C53" s="10">
        <f>SUM(H53:AD53)</f>
        <v/>
      </c>
      <c r="D53" s="24" t="n">
        <v>0.1</v>
      </c>
      <c r="E53" s="56">
        <f>IF(C53=0,"OK","REVIEW")</f>
        <v/>
      </c>
      <c r="H53" s="10">
        <f>IF(ABS(Rev_Build!P47/Rev_Build!O47-1)&gt;$D53,1,0)</f>
        <v/>
      </c>
      <c r="I53" s="10">
        <f>IF(ABS(Rev_Build!Q47/Rev_Build!P47-1)&gt;$D53,1,0)</f>
        <v/>
      </c>
      <c r="J53" s="10">
        <f>IF(ABS(Rev_Build!R47/Rev_Build!Q47-1)&gt;$D53,1,0)</f>
        <v/>
      </c>
      <c r="K53" s="10">
        <f>IF(ABS(Rev_Build!S47/Rev_Build!R47-1)&gt;$D53,1,0)</f>
        <v/>
      </c>
      <c r="L53" s="10">
        <f>IF(ABS(Rev_Build!T47/Rev_Build!S47-1)&gt;$D53,1,0)</f>
        <v/>
      </c>
      <c r="M53" s="10">
        <f>IF(ABS(Rev_Build!U47/Rev_Build!T47-1)&gt;$D53,1,0)</f>
        <v/>
      </c>
      <c r="N53" s="10">
        <f>IF(ABS(Rev_Build!V47/Rev_Build!U47-1)&gt;$D53,1,0)</f>
        <v/>
      </c>
      <c r="O53" s="10">
        <f>IF(ABS(Rev_Build!W47/Rev_Build!V47-1)&gt;$D53,1,0)</f>
        <v/>
      </c>
      <c r="P53" s="10">
        <f>IF(ABS(Rev_Build!X47/Rev_Build!W47-1)&gt;$D53,1,0)</f>
        <v/>
      </c>
      <c r="Q53" s="10">
        <f>IF(ABS(Rev_Build!Y47/Rev_Build!X47-1)&gt;$D53,1,0)</f>
        <v/>
      </c>
      <c r="R53" s="10">
        <f>IF(ABS(Rev_Build!Z47/Rev_Build!Y47-1)&gt;$D53,1,0)</f>
        <v/>
      </c>
      <c r="S53" s="10">
        <f>IF(ABS(Rev_Build!AA47/Rev_Build!Z47-1)&gt;$D53,1,0)</f>
        <v/>
      </c>
      <c r="T53" s="10">
        <f>IF(ABS(Rev_Build!AB47/Rev_Build!AA47-1)&gt;$D53,1,0)</f>
        <v/>
      </c>
      <c r="U53" s="10">
        <f>IF(ABS(Rev_Build!AC47/Rev_Build!AB47-1)&gt;$D53,1,0)</f>
        <v/>
      </c>
      <c r="V53" s="10">
        <f>IF(ABS(Rev_Build!AD47/Rev_Build!AC47-1)&gt;$D53,1,0)</f>
        <v/>
      </c>
      <c r="W53" s="10">
        <f>IF(ABS(Rev_Build!AE47/Rev_Build!AD47-1)&gt;$D53,1,0)</f>
        <v/>
      </c>
      <c r="X53" s="10">
        <f>IF(ABS(Rev_Build!AF47/Rev_Build!AE47-1)&gt;$D53,1,0)</f>
        <v/>
      </c>
      <c r="Y53" s="10">
        <f>IF(ABS(Rev_Build!AG47/Rev_Build!AF47-1)&gt;$D53,1,0)</f>
        <v/>
      </c>
      <c r="Z53" s="10">
        <f>IF(ABS(Rev_Build!AH47/Rev_Build!AG47-1)&gt;$D53,1,0)</f>
        <v/>
      </c>
      <c r="AA53" s="10">
        <f>IF(ABS(Rev_Build!AI47/Rev_Build!AH47-1)&gt;$D53,1,0)</f>
        <v/>
      </c>
      <c r="AB53" s="10">
        <f>IF(ABS(Rev_Build!AJ47/Rev_Build!AI47-1)&gt;$D53,1,0)</f>
        <v/>
      </c>
      <c r="AC53" s="10">
        <f>IF(ABS(Rev_Build!AK47/Rev_Build!AJ47-1)&gt;$D53,1,0)</f>
        <v/>
      </c>
      <c r="AD53" s="10">
        <f>IF(ABS(Rev_Build!AL47/Rev_Build!AK47-1)&gt;$D53,1,0)</f>
        <v/>
      </c>
    </row>
    <row r="54">
      <c r="A54" s="5" t="inlineStr">
        <is>
          <t>Headcount</t>
        </is>
      </c>
      <c r="B54" s="5" t="inlineStr">
        <is>
          <t>Absolute month-on-month % change</t>
        </is>
      </c>
      <c r="C54" s="10">
        <f>SUM(H54:AD54)</f>
        <v/>
      </c>
      <c r="D54" s="24" t="n">
        <v>0.05</v>
      </c>
      <c r="E54" s="56">
        <f>IF(C54=0,"OK","REVIEW")</f>
        <v/>
      </c>
      <c r="H54" s="10">
        <f>IF(ABS(Headcount_Opex!P33/Headcount_Opex!O33-1)&gt;$D54,1,0)</f>
        <v/>
      </c>
      <c r="I54" s="10">
        <f>IF(ABS(Headcount_Opex!Q33/Headcount_Opex!P33-1)&gt;$D54,1,0)</f>
        <v/>
      </c>
      <c r="J54" s="10">
        <f>IF(ABS(Headcount_Opex!R33/Headcount_Opex!Q33-1)&gt;$D54,1,0)</f>
        <v/>
      </c>
      <c r="K54" s="10">
        <f>IF(ABS(Headcount_Opex!S33/Headcount_Opex!R33-1)&gt;$D54,1,0)</f>
        <v/>
      </c>
      <c r="L54" s="10">
        <f>IF(ABS(Headcount_Opex!T33/Headcount_Opex!S33-1)&gt;$D54,1,0)</f>
        <v/>
      </c>
      <c r="M54" s="10">
        <f>IF(ABS(Headcount_Opex!U33/Headcount_Opex!T33-1)&gt;$D54,1,0)</f>
        <v/>
      </c>
      <c r="N54" s="10">
        <f>IF(ABS(Headcount_Opex!V33/Headcount_Opex!U33-1)&gt;$D54,1,0)</f>
        <v/>
      </c>
      <c r="O54" s="10">
        <f>IF(ABS(Headcount_Opex!W33/Headcount_Opex!V33-1)&gt;$D54,1,0)</f>
        <v/>
      </c>
      <c r="P54" s="10">
        <f>IF(ABS(Headcount_Opex!X33/Headcount_Opex!W33-1)&gt;$D54,1,0)</f>
        <v/>
      </c>
      <c r="Q54" s="10">
        <f>IF(ABS(Headcount_Opex!Y33/Headcount_Opex!X33-1)&gt;$D54,1,0)</f>
        <v/>
      </c>
      <c r="R54" s="10">
        <f>IF(ABS(Headcount_Opex!Z33/Headcount_Opex!Y33-1)&gt;$D54,1,0)</f>
        <v/>
      </c>
      <c r="S54" s="10">
        <f>IF(ABS(Headcount_Opex!AA33/Headcount_Opex!Z33-1)&gt;$D54,1,0)</f>
        <v/>
      </c>
      <c r="T54" s="10">
        <f>IF(ABS(Headcount_Opex!AB33/Headcount_Opex!AA33-1)&gt;$D54,1,0)</f>
        <v/>
      </c>
      <c r="U54" s="10">
        <f>IF(ABS(Headcount_Opex!AC33/Headcount_Opex!AB33-1)&gt;$D54,1,0)</f>
        <v/>
      </c>
      <c r="V54" s="10">
        <f>IF(ABS(Headcount_Opex!AD33/Headcount_Opex!AC33-1)&gt;$D54,1,0)</f>
        <v/>
      </c>
      <c r="W54" s="10">
        <f>IF(ABS(Headcount_Opex!AE33/Headcount_Opex!AD33-1)&gt;$D54,1,0)</f>
        <v/>
      </c>
      <c r="X54" s="10">
        <f>IF(ABS(Headcount_Opex!AF33/Headcount_Opex!AE33-1)&gt;$D54,1,0)</f>
        <v/>
      </c>
      <c r="Y54" s="10">
        <f>IF(ABS(Headcount_Opex!AG33/Headcount_Opex!AF33-1)&gt;$D54,1,0)</f>
        <v/>
      </c>
      <c r="Z54" s="10">
        <f>IF(ABS(Headcount_Opex!AH33/Headcount_Opex!AG33-1)&gt;$D54,1,0)</f>
        <v/>
      </c>
      <c r="AA54" s="10">
        <f>IF(ABS(Headcount_Opex!AI33/Headcount_Opex!AH33-1)&gt;$D54,1,0)</f>
        <v/>
      </c>
      <c r="AB54" s="10">
        <f>IF(ABS(Headcount_Opex!AJ33/Headcount_Opex!AI33-1)&gt;$D54,1,0)</f>
        <v/>
      </c>
      <c r="AC54" s="10">
        <f>IF(ABS(Headcount_Opex!AK33/Headcount_Opex!AJ33-1)&gt;$D54,1,0)</f>
        <v/>
      </c>
      <c r="AD54" s="10">
        <f>IF(ABS(Headcount_Opex!AL33/Headcount_Opex!AK33-1)&gt;$D54,1,0)</f>
        <v/>
      </c>
    </row>
    <row r="55">
      <c r="A55" s="5" t="inlineStr">
        <is>
          <t>Deferred revenue</t>
        </is>
      </c>
      <c r="B55" s="5" t="inlineStr">
        <is>
          <t>Absolute month-on-month % change</t>
        </is>
      </c>
      <c r="C55" s="10">
        <f>SUM(H55:AD55)</f>
        <v/>
      </c>
      <c r="D55" s="24" t="n">
        <v>0.15</v>
      </c>
      <c r="E55" s="56">
        <f>IF(C55=0,"OK","REVIEW")</f>
        <v/>
      </c>
      <c r="H55" s="10">
        <f>IF(ABS(BS!P17/BS!O17-1)&gt;$D55,1,0)</f>
        <v/>
      </c>
      <c r="I55" s="10">
        <f>IF(ABS(BS!Q17/BS!P17-1)&gt;$D55,1,0)</f>
        <v/>
      </c>
      <c r="J55" s="10">
        <f>IF(ABS(BS!R17/BS!Q17-1)&gt;$D55,1,0)</f>
        <v/>
      </c>
      <c r="K55" s="10">
        <f>IF(ABS(BS!S17/BS!R17-1)&gt;$D55,1,0)</f>
        <v/>
      </c>
      <c r="L55" s="10">
        <f>IF(ABS(BS!T17/BS!S17-1)&gt;$D55,1,0)</f>
        <v/>
      </c>
      <c r="M55" s="10">
        <f>IF(ABS(BS!U17/BS!T17-1)&gt;$D55,1,0)</f>
        <v/>
      </c>
      <c r="N55" s="10">
        <f>IF(ABS(BS!V17/BS!U17-1)&gt;$D55,1,0)</f>
        <v/>
      </c>
      <c r="O55" s="10">
        <f>IF(ABS(BS!W17/BS!V17-1)&gt;$D55,1,0)</f>
        <v/>
      </c>
      <c r="P55" s="10">
        <f>IF(ABS(BS!X17/BS!W17-1)&gt;$D55,1,0)</f>
        <v/>
      </c>
      <c r="Q55" s="10">
        <f>IF(ABS(BS!Y17/BS!X17-1)&gt;$D55,1,0)</f>
        <v/>
      </c>
      <c r="R55" s="10">
        <f>IF(ABS(BS!Z17/BS!Y17-1)&gt;$D55,1,0)</f>
        <v/>
      </c>
      <c r="S55" s="10">
        <f>IF(ABS(BS!AA17/BS!Z17-1)&gt;$D55,1,0)</f>
        <v/>
      </c>
      <c r="T55" s="10">
        <f>IF(ABS(BS!AB17/BS!AA17-1)&gt;$D55,1,0)</f>
        <v/>
      </c>
      <c r="U55" s="10">
        <f>IF(ABS(BS!AC17/BS!AB17-1)&gt;$D55,1,0)</f>
        <v/>
      </c>
      <c r="V55" s="10">
        <f>IF(ABS(BS!AD17/BS!AC17-1)&gt;$D55,1,0)</f>
        <v/>
      </c>
      <c r="W55" s="10">
        <f>IF(ABS(BS!AE17/BS!AD17-1)&gt;$D55,1,0)</f>
        <v/>
      </c>
      <c r="X55" s="10">
        <f>IF(ABS(BS!AF17/BS!AE17-1)&gt;$D55,1,0)</f>
        <v/>
      </c>
      <c r="Y55" s="10">
        <f>IF(ABS(BS!AG17/BS!AF17-1)&gt;$D55,1,0)</f>
        <v/>
      </c>
      <c r="Z55" s="10">
        <f>IF(ABS(BS!AH17/BS!AG17-1)&gt;$D55,1,0)</f>
        <v/>
      </c>
      <c r="AA55" s="10">
        <f>IF(ABS(BS!AI17/BS!AH17-1)&gt;$D55,1,0)</f>
        <v/>
      </c>
      <c r="AB55" s="10">
        <f>IF(ABS(BS!AJ17/BS!AI17-1)&gt;$D55,1,0)</f>
        <v/>
      </c>
      <c r="AC55" s="10">
        <f>IF(ABS(BS!AK17/BS!AJ17-1)&gt;$D55,1,0)</f>
        <v/>
      </c>
      <c r="AD55" s="10">
        <f>IF(ABS(BS!AL17/BS!AK17-1)&gt;$D55,1,0)</f>
        <v/>
      </c>
    </row>
    <row r="56">
      <c r="A56" s="5" t="inlineStr">
        <is>
          <t>Cost of revenue</t>
        </is>
      </c>
      <c r="B56" s="5" t="inlineStr">
        <is>
          <t>Absolute month-on-month % change</t>
        </is>
      </c>
      <c r="C56" s="10">
        <f>SUM(H56:AD56)</f>
        <v/>
      </c>
      <c r="D56" s="24" t="n">
        <v>0.15</v>
      </c>
      <c r="E56" s="56">
        <f>IF(C56=0,"OK","REVIEW")</f>
        <v/>
      </c>
      <c r="H56" s="10">
        <f>IF(ABS(IS!P19/IS!O19-1)&gt;$D56,1,0)</f>
        <v/>
      </c>
      <c r="I56" s="10">
        <f>IF(ABS(IS!Q19/IS!P19-1)&gt;$D56,1,0)</f>
        <v/>
      </c>
      <c r="J56" s="10">
        <f>IF(ABS(IS!R19/IS!Q19-1)&gt;$D56,1,0)</f>
        <v/>
      </c>
      <c r="K56" s="10">
        <f>IF(ABS(IS!S19/IS!R19-1)&gt;$D56,1,0)</f>
        <v/>
      </c>
      <c r="L56" s="10">
        <f>IF(ABS(IS!T19/IS!S19-1)&gt;$D56,1,0)</f>
        <v/>
      </c>
      <c r="M56" s="10">
        <f>IF(ABS(IS!U19/IS!T19-1)&gt;$D56,1,0)</f>
        <v/>
      </c>
      <c r="N56" s="10">
        <f>IF(ABS(IS!V19/IS!U19-1)&gt;$D56,1,0)</f>
        <v/>
      </c>
      <c r="O56" s="10">
        <f>IF(ABS(IS!W19/IS!V19-1)&gt;$D56,1,0)</f>
        <v/>
      </c>
      <c r="P56" s="10">
        <f>IF(ABS(IS!X19/IS!W19-1)&gt;$D56,1,0)</f>
        <v/>
      </c>
      <c r="Q56" s="10">
        <f>IF(ABS(IS!Y19/IS!X19-1)&gt;$D56,1,0)</f>
        <v/>
      </c>
      <c r="R56" s="10">
        <f>IF(ABS(IS!Z19/IS!Y19-1)&gt;$D56,1,0)</f>
        <v/>
      </c>
      <c r="S56" s="10">
        <f>IF(ABS(IS!AA19/IS!Z19-1)&gt;$D56,1,0)</f>
        <v/>
      </c>
      <c r="T56" s="10">
        <f>IF(ABS(IS!AB19/IS!AA19-1)&gt;$D56,1,0)</f>
        <v/>
      </c>
      <c r="U56" s="10">
        <f>IF(ABS(IS!AC19/IS!AB19-1)&gt;$D56,1,0)</f>
        <v/>
      </c>
      <c r="V56" s="10">
        <f>IF(ABS(IS!AD19/IS!AC19-1)&gt;$D56,1,0)</f>
        <v/>
      </c>
      <c r="W56" s="10">
        <f>IF(ABS(IS!AE19/IS!AD19-1)&gt;$D56,1,0)</f>
        <v/>
      </c>
      <c r="X56" s="10">
        <f>IF(ABS(IS!AF19/IS!AE19-1)&gt;$D56,1,0)</f>
        <v/>
      </c>
      <c r="Y56" s="10">
        <f>IF(ABS(IS!AG19/IS!AF19-1)&gt;$D56,1,0)</f>
        <v/>
      </c>
      <c r="Z56" s="10">
        <f>IF(ABS(IS!AH19/IS!AG19-1)&gt;$D56,1,0)</f>
        <v/>
      </c>
      <c r="AA56" s="10">
        <f>IF(ABS(IS!AI19/IS!AH19-1)&gt;$D56,1,0)</f>
        <v/>
      </c>
      <c r="AB56" s="10">
        <f>IF(ABS(IS!AJ19/IS!AI19-1)&gt;$D56,1,0)</f>
        <v/>
      </c>
      <c r="AC56" s="10">
        <f>IF(ABS(IS!AK19/IS!AJ19-1)&gt;$D56,1,0)</f>
        <v/>
      </c>
      <c r="AD56" s="10">
        <f>IF(ABS(IS!AL19/IS!AK19-1)&gt;$D56,1,0)</f>
        <v/>
      </c>
    </row>
    <row r="57">
      <c r="A57" s="5" t="inlineStr">
        <is>
          <t>Gross margin (absolute change, pts)</t>
        </is>
      </c>
      <c r="B57" s="5" t="inlineStr">
        <is>
          <t>Absolute month-on-month change</t>
        </is>
      </c>
      <c r="C57" s="10">
        <f>SUM(H57:AD57)</f>
        <v/>
      </c>
      <c r="D57" s="24" t="n">
        <v>0.02</v>
      </c>
      <c r="E57" s="56">
        <f>IF(C57=0,"OK","REVIEW")</f>
        <v/>
      </c>
      <c r="H57" s="10">
        <f>IF(ABS(IS!P21-IS!O21)&gt;$D57,1,0)</f>
        <v/>
      </c>
      <c r="I57" s="10">
        <f>IF(ABS(IS!Q21-IS!P21)&gt;$D57,1,0)</f>
        <v/>
      </c>
      <c r="J57" s="10">
        <f>IF(ABS(IS!R21-IS!Q21)&gt;$D57,1,0)</f>
        <v/>
      </c>
      <c r="K57" s="10">
        <f>IF(ABS(IS!S21-IS!R21)&gt;$D57,1,0)</f>
        <v/>
      </c>
      <c r="L57" s="10">
        <f>IF(ABS(IS!T21-IS!S21)&gt;$D57,1,0)</f>
        <v/>
      </c>
      <c r="M57" s="10">
        <f>IF(ABS(IS!U21-IS!T21)&gt;$D57,1,0)</f>
        <v/>
      </c>
      <c r="N57" s="10">
        <f>IF(ABS(IS!V21-IS!U21)&gt;$D57,1,0)</f>
        <v/>
      </c>
      <c r="O57" s="10">
        <f>IF(ABS(IS!W21-IS!V21)&gt;$D57,1,0)</f>
        <v/>
      </c>
      <c r="P57" s="10">
        <f>IF(ABS(IS!X21-IS!W21)&gt;$D57,1,0)</f>
        <v/>
      </c>
      <c r="Q57" s="10">
        <f>IF(ABS(IS!Y21-IS!X21)&gt;$D57,1,0)</f>
        <v/>
      </c>
      <c r="R57" s="10">
        <f>IF(ABS(IS!Z21-IS!Y21)&gt;$D57,1,0)</f>
        <v/>
      </c>
      <c r="S57" s="10">
        <f>IF(ABS(IS!AA21-IS!Z21)&gt;$D57,1,0)</f>
        <v/>
      </c>
      <c r="T57" s="10">
        <f>IF(ABS(IS!AB21-IS!AA21)&gt;$D57,1,0)</f>
        <v/>
      </c>
      <c r="U57" s="10">
        <f>IF(ABS(IS!AC21-IS!AB21)&gt;$D57,1,0)</f>
        <v/>
      </c>
      <c r="V57" s="10">
        <f>IF(ABS(IS!AD21-IS!AC21)&gt;$D57,1,0)</f>
        <v/>
      </c>
      <c r="W57" s="10">
        <f>IF(ABS(IS!AE21-IS!AD21)&gt;$D57,1,0)</f>
        <v/>
      </c>
      <c r="X57" s="10">
        <f>IF(ABS(IS!AF21-IS!AE21)&gt;$D57,1,0)</f>
        <v/>
      </c>
      <c r="Y57" s="10">
        <f>IF(ABS(IS!AG21-IS!AF21)&gt;$D57,1,0)</f>
        <v/>
      </c>
      <c r="Z57" s="10">
        <f>IF(ABS(IS!AH21-IS!AG21)&gt;$D57,1,0)</f>
        <v/>
      </c>
      <c r="AA57" s="10">
        <f>IF(ABS(IS!AI21-IS!AH21)&gt;$D57,1,0)</f>
        <v/>
      </c>
      <c r="AB57" s="10">
        <f>IF(ABS(IS!AJ21-IS!AI21)&gt;$D57,1,0)</f>
        <v/>
      </c>
      <c r="AC57" s="10">
        <f>IF(ABS(IS!AK21-IS!AJ21)&gt;$D57,1,0)</f>
        <v/>
      </c>
      <c r="AD57" s="10">
        <f>IF(ABS(IS!AL21-IS!AK21)&gt;$D57,1,0)</f>
        <v/>
      </c>
    </row>
    <row r="58">
      <c r="A58" s="5" t="inlineStr">
        <is>
          <t>EBITDA margin (absolute change, pts)</t>
        </is>
      </c>
      <c r="B58" s="5" t="inlineStr">
        <is>
          <t>Absolute month-on-month change</t>
        </is>
      </c>
      <c r="C58" s="10">
        <f>SUM(H58:AD58)</f>
        <v/>
      </c>
      <c r="D58" s="24" t="n">
        <v>0.05</v>
      </c>
      <c r="E58" s="56">
        <f>IF(C58=0,"OK","REVIEW")</f>
        <v/>
      </c>
      <c r="H58" s="10">
        <f>IF(ABS(IS!P30-IS!O30)&gt;$D58,1,0)</f>
        <v/>
      </c>
      <c r="I58" s="10">
        <f>IF(ABS(IS!Q30-IS!P30)&gt;$D58,1,0)</f>
        <v/>
      </c>
      <c r="J58" s="10">
        <f>IF(ABS(IS!R30-IS!Q30)&gt;$D58,1,0)</f>
        <v/>
      </c>
      <c r="K58" s="10">
        <f>IF(ABS(IS!S30-IS!R30)&gt;$D58,1,0)</f>
        <v/>
      </c>
      <c r="L58" s="10">
        <f>IF(ABS(IS!T30-IS!S30)&gt;$D58,1,0)</f>
        <v/>
      </c>
      <c r="M58" s="10">
        <f>IF(ABS(IS!U30-IS!T30)&gt;$D58,1,0)</f>
        <v/>
      </c>
      <c r="N58" s="10">
        <f>IF(ABS(IS!V30-IS!U30)&gt;$D58,1,0)</f>
        <v/>
      </c>
      <c r="O58" s="10">
        <f>IF(ABS(IS!W30-IS!V30)&gt;$D58,1,0)</f>
        <v/>
      </c>
      <c r="P58" s="10">
        <f>IF(ABS(IS!X30-IS!W30)&gt;$D58,1,0)</f>
        <v/>
      </c>
      <c r="Q58" s="10">
        <f>IF(ABS(IS!Y30-IS!X30)&gt;$D58,1,0)</f>
        <v/>
      </c>
      <c r="R58" s="10">
        <f>IF(ABS(IS!Z30-IS!Y30)&gt;$D58,1,0)</f>
        <v/>
      </c>
      <c r="S58" s="10">
        <f>IF(ABS(IS!AA30-IS!Z30)&gt;$D58,1,0)</f>
        <v/>
      </c>
      <c r="T58" s="10">
        <f>IF(ABS(IS!AB30-IS!AA30)&gt;$D58,1,0)</f>
        <v/>
      </c>
      <c r="U58" s="10">
        <f>IF(ABS(IS!AC30-IS!AB30)&gt;$D58,1,0)</f>
        <v/>
      </c>
      <c r="V58" s="10">
        <f>IF(ABS(IS!AD30-IS!AC30)&gt;$D58,1,0)</f>
        <v/>
      </c>
      <c r="W58" s="10">
        <f>IF(ABS(IS!AE30-IS!AD30)&gt;$D58,1,0)</f>
        <v/>
      </c>
      <c r="X58" s="10">
        <f>IF(ABS(IS!AF30-IS!AE30)&gt;$D58,1,0)</f>
        <v/>
      </c>
      <c r="Y58" s="10">
        <f>IF(ABS(IS!AG30-IS!AF30)&gt;$D58,1,0)</f>
        <v/>
      </c>
      <c r="Z58" s="10">
        <f>IF(ABS(IS!AH30-IS!AG30)&gt;$D58,1,0)</f>
        <v/>
      </c>
      <c r="AA58" s="10">
        <f>IF(ABS(IS!AI30-IS!AH30)&gt;$D58,1,0)</f>
        <v/>
      </c>
      <c r="AB58" s="10">
        <f>IF(ABS(IS!AJ30-IS!AI30)&gt;$D58,1,0)</f>
        <v/>
      </c>
      <c r="AC58" s="10">
        <f>IF(ABS(IS!AK30-IS!AJ30)&gt;$D58,1,0)</f>
        <v/>
      </c>
      <c r="AD58" s="10">
        <f>IF(ABS(IS!AL30-IS!AK30)&gt;$D58,1,0)</f>
        <v/>
      </c>
    </row>
    <row r="59">
      <c r="A59" s="3" t="inlineStr">
        <is>
          <t>WARNINGS</t>
        </is>
      </c>
      <c r="B59" s="5" t="inlineStr">
        <is>
          <t>Number of series with at least one flagged month</t>
        </is>
      </c>
      <c r="E59" s="78">
        <f>COUNTIF(E51:E58,"REVIEW")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2026-10-15T21:13:28Z</dcterms:created>
  <dcterms:modified xmlns:dcterms="http://purl.org/dc/terms/" xmlns:xsi="http://www.w3.org/2001/XMLSchema-instance" xsi:type="dcterms:W3CDTF">2026-10-15T21:13:29Z</dcterms:modified>
</cp:coreProperties>
</file>